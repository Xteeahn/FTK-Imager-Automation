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07. IT Landschap\git\FTK Imager Automation\"/>
    </mc:Choice>
  </mc:AlternateContent>
  <bookViews>
    <workbookView xWindow="0" yWindow="0" windowWidth="28800" windowHeight="10425"/>
  </bookViews>
  <sheets>
    <sheet name="Device Imaging Notes" sheetId="1" r:id="rId1"/>
    <sheet name="List" sheetId="4" state="hidden" r:id="rId2"/>
  </sheets>
  <definedNames>
    <definedName name="_xlnm.Print_Area" localSheetId="0">'Device Imaging Notes'!$A$1:$C$29</definedName>
    <definedName name="AS2DocOpenMode" hidden="1">"AS2DocumentEdit"</definedName>
    <definedName name="DataValidationRange">'Device Imaging Notes'!$C$18,'Device Imaging Notes'!$C$16,'Device Imaging Notes'!$C$5,'Device Imaging Notes'!$C$32</definedName>
    <definedName name="SIM_MMC">'Device Imaging Notes'!#REF!</definedName>
  </definedNames>
  <calcPr calcId="152511"/>
</workbook>
</file>

<file path=xl/calcChain.xml><?xml version="1.0" encoding="utf-8"?>
<calcChain xmlns="http://schemas.openxmlformats.org/spreadsheetml/2006/main">
  <c r="C29" i="1" l="1"/>
  <c r="C30" i="1" s="1"/>
  <c r="C41" i="1" s="1"/>
</calcChain>
</file>

<file path=xl/comments1.xml><?xml version="1.0" encoding="utf-8"?>
<comments xmlns="http://schemas.openxmlformats.org/spreadsheetml/2006/main">
  <authors>
    <author>Mastop, Christiaan (NL - Amsterdam)</author>
    <author>jamecook</author>
  </authors>
  <commentList>
    <comment ref="C5" authorId="0" shapeId="0">
      <text>
        <r>
          <rPr>
            <sz val="9"/>
            <color indexed="81"/>
            <rFont val="Tahoma"/>
            <family val="2"/>
          </rPr>
          <t>---</t>
        </r>
        <r>
          <rPr>
            <b/>
            <sz val="9"/>
            <color indexed="81"/>
            <rFont val="Tahoma"/>
            <family val="2"/>
          </rPr>
          <t>DO NOT PASTE OVER DROPDOWN OPTIONS---</t>
        </r>
        <r>
          <rPr>
            <sz val="9"/>
            <color indexed="81"/>
            <rFont val="Tahoma"/>
            <family val="2"/>
          </rPr>
          <t xml:space="preserve">
Options:
Storage - 2,5" Drive
Storage - 3,5" Drive
Storage - M.2 Drive
Storage - External Drive
Storage - NAS
Storage - Other
Removable Media - CD
Removable Media - DVD
Removable Media - Floppy Disk
Removable Media - Media Card
Removable Media - USB Thumbdrive
Removable Media - Tape
Removable Media - Other
Computer - Desktop
Computer - Laptop
Computer - Tablet
Mobile Device
Logical Device - E-Mail Data
Logical Device - Network Data
Logical Device - Other
Other</t>
        </r>
      </text>
    </comment>
    <comment ref="C16" authorId="0" shapeId="0">
      <text>
        <r>
          <rPr>
            <b/>
            <sz val="9"/>
            <color indexed="81"/>
            <rFont val="Tahoma"/>
            <family val="2"/>
          </rPr>
          <t>---DO NOT PASTE OVER DROPDOWN OPTIONS---</t>
        </r>
        <r>
          <rPr>
            <sz val="9"/>
            <color indexed="81"/>
            <rFont val="Tahoma"/>
            <family val="2"/>
          </rPr>
          <t xml:space="preserve">
Options:
KB
MB
GB
TB</t>
        </r>
      </text>
    </comment>
    <comment ref="C18" authorId="0" shapeId="0">
      <text>
        <r>
          <rPr>
            <b/>
            <sz val="9"/>
            <color indexed="81"/>
            <rFont val="Tahoma"/>
            <family val="2"/>
          </rPr>
          <t>---DO NOT PASTE OVER DROPDOWN OPTIONS---</t>
        </r>
        <r>
          <rPr>
            <sz val="9"/>
            <color indexed="81"/>
            <rFont val="Tahoma"/>
            <family val="2"/>
          </rPr>
          <t xml:space="preserve">
Options:
None
McAfee Safeboot
McAfee Endpoint
Bitlocker
VeraCrypt
TrueCrypt
DiskCryptor
Hardware
Other</t>
        </r>
      </text>
    </comment>
    <comment ref="C29" authorId="1" shapeId="0">
      <text>
        <r>
          <rPr>
            <b/>
            <sz val="9"/>
            <color indexed="81"/>
            <rFont val="Tahoma"/>
            <family val="2"/>
          </rPr>
          <t>Copy and Paste this cell into the Notes section of your imaging tool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Mastop, Christiaan (NL - Amsterdam):</t>
        </r>
        <r>
          <rPr>
            <sz val="9"/>
            <color indexed="81"/>
            <rFont val="Tahoma"/>
            <family val="2"/>
          </rPr>
          <t xml:space="preserve">
You can copy this into the "Notes" section in FTK imager</t>
        </r>
      </text>
    </comment>
    <comment ref="C32" authorId="0" shapeId="0">
      <text>
        <r>
          <rPr>
            <b/>
            <sz val="9"/>
            <color indexed="81"/>
            <rFont val="Tahoma"/>
            <family val="2"/>
          </rPr>
          <t xml:space="preserve">---DO NOT PASTE OVER DROPDOWN OPTIONS---
</t>
        </r>
        <r>
          <rPr>
            <sz val="9"/>
            <color indexed="81"/>
            <rFont val="Tahoma"/>
            <family val="2"/>
          </rPr>
          <t>Options:
targeted
physical
logical</t>
        </r>
      </text>
    </comment>
    <comment ref="C38" authorId="0" shapeId="0">
      <text>
        <r>
          <rPr>
            <b/>
            <sz val="9"/>
            <color indexed="81"/>
            <rFont val="Tahoma"/>
            <family val="2"/>
          </rPr>
          <t>---DO NOT PASTE OVER DROPDOWN OPTIONS---</t>
        </r>
        <r>
          <rPr>
            <sz val="9"/>
            <color indexed="81"/>
            <rFont val="Tahoma"/>
            <family val="2"/>
          </rPr>
          <t xml:space="preserve">
Options:
0
1
2
3
4
5
6
7
8
9</t>
        </r>
      </text>
    </comment>
  </commentList>
</comments>
</file>

<file path=xl/sharedStrings.xml><?xml version="1.0" encoding="utf-8"?>
<sst xmlns="http://schemas.openxmlformats.org/spreadsheetml/2006/main" count="125" uniqueCount="113">
  <si>
    <t>HDD Manufacturer</t>
  </si>
  <si>
    <t>HDD Size</t>
  </si>
  <si>
    <t>NOTES</t>
  </si>
  <si>
    <t>Project Name</t>
  </si>
  <si>
    <t>Other Notes</t>
  </si>
  <si>
    <t>HDD Serial Number</t>
  </si>
  <si>
    <t>Device Imaging Notes Template</t>
  </si>
  <si>
    <t>Device Type</t>
  </si>
  <si>
    <t>Device Manufacturer</t>
  </si>
  <si>
    <t>Device Model Number</t>
  </si>
  <si>
    <t>Device Asset Tag</t>
  </si>
  <si>
    <t>Seagate</t>
  </si>
  <si>
    <t>ST100</t>
  </si>
  <si>
    <t>Lenovo</t>
  </si>
  <si>
    <t>T420s</t>
  </si>
  <si>
    <t>LNO123</t>
  </si>
  <si>
    <t>DEL999</t>
  </si>
  <si>
    <t>S123456789</t>
  </si>
  <si>
    <t>N/A</t>
  </si>
  <si>
    <t>Example</t>
  </si>
  <si>
    <t>HDD Model Number</t>
  </si>
  <si>
    <t>SIM Logical Start Date/Time</t>
  </si>
  <si>
    <t>USIM Logical Start Date/Time</t>
  </si>
  <si>
    <t>USIM FileSystem Start Date/Time</t>
  </si>
  <si>
    <t>SIM FileSystem Start Date/Time</t>
  </si>
  <si>
    <t>IMEI</t>
  </si>
  <si>
    <t>324956384723948</t>
  </si>
  <si>
    <t>ICCID</t>
  </si>
  <si>
    <t>83749359203748913042</t>
  </si>
  <si>
    <t>SIM-PIN</t>
  </si>
  <si>
    <t>1234</t>
  </si>
  <si>
    <t>24/5/2016 14:05</t>
  </si>
  <si>
    <t>24/5/2016 14:06</t>
  </si>
  <si>
    <t>24/5/2016 14:07</t>
  </si>
  <si>
    <t>24/5/2016 14:08</t>
  </si>
  <si>
    <t>Yes/No</t>
  </si>
  <si>
    <t>SIM Card Present?</t>
  </si>
  <si>
    <t>Device Physical Serial Number</t>
  </si>
  <si>
    <t>S123456791</t>
  </si>
  <si>
    <t>Custodian Name</t>
  </si>
  <si>
    <t>ComputerName1</t>
  </si>
  <si>
    <t>Device/Machine Name</t>
  </si>
  <si>
    <t>HDD Logical Serial Number</t>
  </si>
  <si>
    <t>Device Encryption:</t>
  </si>
  <si>
    <t>Key Check:</t>
  </si>
  <si>
    <t>12354896365 OR Volume and Password ID</t>
  </si>
  <si>
    <t>Compression</t>
  </si>
  <si>
    <t>First Name, Last Name</t>
  </si>
  <si>
    <t>Storage - 2,5" Drive</t>
  </si>
  <si>
    <t>Storage - 3,5" Drive</t>
  </si>
  <si>
    <t>Storage - M.2 Drive</t>
  </si>
  <si>
    <t>Storage - External Drive</t>
  </si>
  <si>
    <t>Storage - NAS</t>
  </si>
  <si>
    <t>Removable Media - CD</t>
  </si>
  <si>
    <t>Removable Media - DVD</t>
  </si>
  <si>
    <t>Removable Media - Floppy Disk</t>
  </si>
  <si>
    <t>Removable Media - Media Card</t>
  </si>
  <si>
    <t>Removable Media - USB Thumbdrive</t>
  </si>
  <si>
    <t>Removable Media - Tape</t>
  </si>
  <si>
    <t>Removable Media - Other</t>
  </si>
  <si>
    <t>Computer - Desktop</t>
  </si>
  <si>
    <t>Computer - Laptop</t>
  </si>
  <si>
    <t>Computer - Tablet</t>
  </si>
  <si>
    <t>Mobile Device</t>
  </si>
  <si>
    <t>Other</t>
  </si>
  <si>
    <t>HDD Size Type</t>
  </si>
  <si>
    <t>GB</t>
  </si>
  <si>
    <t>Sizze Type</t>
  </si>
  <si>
    <t>KB</t>
  </si>
  <si>
    <t>MB</t>
  </si>
  <si>
    <t>TB</t>
  </si>
  <si>
    <t>Encryption</t>
  </si>
  <si>
    <t>None</t>
  </si>
  <si>
    <t>McAfee Safeboot</t>
  </si>
  <si>
    <t>McAfee Endpoint</t>
  </si>
  <si>
    <t>Bitlocker</t>
  </si>
  <si>
    <t>VeraCrypt</t>
  </si>
  <si>
    <t>TrueCrypt</t>
  </si>
  <si>
    <t>DiskCryptor</t>
  </si>
  <si>
    <t>Hardware</t>
  </si>
  <si>
    <t>Project Test</t>
  </si>
  <si>
    <t>VeraCrypt Bitlocker, Other, None</t>
  </si>
  <si>
    <t>Logical Device - E-Mail Data</t>
  </si>
  <si>
    <t>Logical Device - Network Data</t>
  </si>
  <si>
    <t>Logical Device - Other</t>
  </si>
  <si>
    <t>Storage - Other</t>
  </si>
  <si>
    <t>FTK Automater</t>
  </si>
  <si>
    <t>Collection Type</t>
  </si>
  <si>
    <t>FTK Evidence Number</t>
  </si>
  <si>
    <t>Examiner</t>
  </si>
  <si>
    <t>Destination Folder</t>
  </si>
  <si>
    <t>File Name</t>
  </si>
  <si>
    <t>targeted</t>
  </si>
  <si>
    <t>physical</t>
  </si>
  <si>
    <t>logical</t>
  </si>
  <si>
    <t>Segment Size</t>
  </si>
  <si>
    <t>1024</t>
  </si>
  <si>
    <t>FTK Automater Location</t>
  </si>
  <si>
    <t>Select Folder Location --&gt;</t>
  </si>
  <si>
    <t>Select FTK Imager.exe --&gt;</t>
  </si>
  <si>
    <t>targeted, logical, physical</t>
  </si>
  <si>
    <t>Optional: FTK Imager Location</t>
  </si>
  <si>
    <r>
      <rPr>
        <sz val="10.5"/>
        <color rgb="FFFF0000"/>
        <rFont val="Calibri"/>
        <family val="2"/>
        <scheme val="minor"/>
      </rPr>
      <t>IF TARGETED</t>
    </r>
    <r>
      <rPr>
        <sz val="10.5"/>
        <color theme="1"/>
        <rFont val="Calibri"/>
        <family val="2"/>
        <scheme val="minor"/>
      </rPr>
      <t xml:space="preserve"> Select File Location --&gt;</t>
    </r>
  </si>
  <si>
    <t>Text File Containing Folder Paths</t>
  </si>
  <si>
    <t>0-9</t>
  </si>
  <si>
    <t>No Specific Custodian</t>
  </si>
  <si>
    <t xml:space="preserve">NETGEAR </t>
  </si>
  <si>
    <t>ReadyNAS 2304</t>
  </si>
  <si>
    <t>Project Testing</t>
  </si>
  <si>
    <t>1337</t>
  </si>
  <si>
    <t>Name</t>
  </si>
  <si>
    <t>Test-0001</t>
  </si>
  <si>
    <t>D:\Test-0001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</si>
</sst>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b/>
      <sz val="11"/>
      <color indexed="10"/>
      <name val="Calibri"/>
      <family val="2"/>
    </font>
    <font>
      <sz val="8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theme="0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10"/>
      <color rgb="FF002060"/>
      <name val="Calibri"/>
      <family val="2"/>
    </font>
    <font>
      <sz val="10"/>
      <color rgb="FF002060"/>
      <name val="Calibri"/>
      <family val="2"/>
    </font>
    <font>
      <b/>
      <sz val="10"/>
      <color rgb="FF002060"/>
      <name val="Calibri"/>
      <family val="2"/>
      <scheme val="minor"/>
    </font>
    <font>
      <sz val="10"/>
      <color rgb="FF002060"/>
      <name val="Calibri"/>
      <family val="2"/>
      <scheme val="minor"/>
    </font>
    <font>
      <sz val="10.5"/>
      <name val="Calibri"/>
      <family val="2"/>
      <scheme val="minor"/>
    </font>
    <font>
      <sz val="10.5"/>
      <color theme="0"/>
      <name val="Calibri"/>
      <family val="2"/>
      <scheme val="minor"/>
    </font>
    <font>
      <sz val="9"/>
      <color indexed="81"/>
      <name val="Tahoma"/>
      <family val="2"/>
    </font>
    <font>
      <sz val="10.5"/>
      <color rgb="FFFF0000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85BC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4" tint="0.3999755851924192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rgb="FFFFFFFF"/>
      </left>
      <right/>
      <top style="thin">
        <color rgb="FFFFFFFF"/>
      </top>
      <bottom/>
      <diagonal/>
    </border>
  </borders>
  <cellStyleXfs count="4">
    <xf numFmtId="0" fontId="0" fillId="0" borderId="0"/>
    <xf numFmtId="0" fontId="4" fillId="0" borderId="0"/>
    <xf numFmtId="0" fontId="5" fillId="0" borderId="0"/>
    <xf numFmtId="0" fontId="5" fillId="0" borderId="0"/>
  </cellStyleXfs>
  <cellXfs count="41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2" borderId="0" xfId="0" applyFill="1" applyAlignment="1">
      <alignment wrapText="1"/>
    </xf>
    <xf numFmtId="1" fontId="7" fillId="4" borderId="6" xfId="2" applyNumberFormat="1" applyFont="1" applyFill="1" applyBorder="1" applyAlignment="1">
      <alignment horizontal="left" vertical="center"/>
    </xf>
    <xf numFmtId="49" fontId="8" fillId="5" borderId="7" xfId="0" applyNumberFormat="1" applyFont="1" applyFill="1" applyBorder="1" applyAlignment="1" applyProtection="1">
      <alignment horizontal="left" wrapText="1"/>
      <protection locked="0"/>
    </xf>
    <xf numFmtId="49" fontId="8" fillId="5" borderId="8" xfId="0" applyNumberFormat="1" applyFont="1" applyFill="1" applyBorder="1" applyAlignment="1" applyProtection="1">
      <alignment horizontal="left" wrapText="1"/>
      <protection locked="0"/>
    </xf>
    <xf numFmtId="49" fontId="8" fillId="5" borderId="10" xfId="0" applyNumberFormat="1" applyFont="1" applyFill="1" applyBorder="1" applyAlignment="1" applyProtection="1">
      <alignment horizontal="left" wrapText="1"/>
      <protection locked="0"/>
    </xf>
    <xf numFmtId="49" fontId="10" fillId="5" borderId="10" xfId="0" applyNumberFormat="1" applyFont="1" applyFill="1" applyBorder="1" applyAlignment="1" applyProtection="1">
      <alignment horizontal="left" wrapText="1"/>
      <protection locked="0"/>
    </xf>
    <xf numFmtId="49" fontId="10" fillId="5" borderId="8" xfId="0" applyNumberFormat="1" applyFont="1" applyFill="1" applyBorder="1" applyAlignment="1" applyProtection="1">
      <alignment horizontal="left" wrapText="1"/>
      <protection locked="0"/>
    </xf>
    <xf numFmtId="0" fontId="4" fillId="0" borderId="0" xfId="1"/>
    <xf numFmtId="0" fontId="13" fillId="0" borderId="11" xfId="0" applyFont="1" applyBorder="1" applyAlignment="1"/>
    <xf numFmtId="0" fontId="14" fillId="0" borderId="4" xfId="0" applyFont="1" applyBorder="1" applyAlignment="1"/>
    <xf numFmtId="0" fontId="14" fillId="0" borderId="4" xfId="0" applyFont="1" applyFill="1" applyBorder="1" applyAlignment="1"/>
    <xf numFmtId="0" fontId="14" fillId="0" borderId="2" xfId="1" applyFont="1" applyFill="1" applyBorder="1" applyAlignment="1"/>
    <xf numFmtId="0" fontId="14" fillId="0" borderId="4" xfId="1" applyFont="1" applyFill="1" applyBorder="1" applyAlignment="1"/>
    <xf numFmtId="0" fontId="14" fillId="0" borderId="12" xfId="1" applyFont="1" applyFill="1" applyBorder="1" applyAlignment="1"/>
    <xf numFmtId="0" fontId="15" fillId="0" borderId="13" xfId="1" applyFont="1" applyBorder="1"/>
    <xf numFmtId="0" fontId="16" fillId="0" borderId="14" xfId="1" applyFont="1" applyBorder="1"/>
    <xf numFmtId="0" fontId="16" fillId="0" borderId="14" xfId="1" applyFont="1" applyFill="1" applyBorder="1"/>
    <xf numFmtId="49" fontId="12" fillId="5" borderId="10" xfId="0" applyNumberFormat="1" applyFont="1" applyFill="1" applyBorder="1" applyAlignment="1" applyProtection="1">
      <alignment horizontal="left" wrapText="1"/>
      <protection locked="0"/>
    </xf>
    <xf numFmtId="49" fontId="12" fillId="5" borderId="8" xfId="0" applyNumberFormat="1" applyFont="1" applyFill="1" applyBorder="1" applyAlignment="1" applyProtection="1">
      <alignment horizontal="left" wrapText="1"/>
      <protection locked="0"/>
    </xf>
    <xf numFmtId="49" fontId="12" fillId="5" borderId="7" xfId="0" applyNumberFormat="1" applyFont="1" applyFill="1" applyBorder="1" applyAlignment="1" applyProtection="1">
      <alignment horizontal="left" wrapText="1"/>
      <protection locked="0"/>
    </xf>
    <xf numFmtId="49" fontId="9" fillId="5" borderId="1" xfId="0" applyNumberFormat="1" applyFont="1" applyFill="1" applyBorder="1" applyAlignment="1" applyProtection="1">
      <alignment horizontal="left" wrapText="1"/>
      <protection locked="0"/>
    </xf>
    <xf numFmtId="1" fontId="17" fillId="3" borderId="1" xfId="1" applyNumberFormat="1" applyFont="1" applyFill="1" applyBorder="1" applyAlignment="1">
      <alignment vertical="top" wrapText="1"/>
    </xf>
    <xf numFmtId="49" fontId="10" fillId="5" borderId="1" xfId="0" applyNumberFormat="1" applyFont="1" applyFill="1" applyBorder="1" applyAlignment="1" applyProtection="1">
      <alignment horizontal="left" vertical="center" wrapText="1"/>
      <protection locked="0"/>
    </xf>
    <xf numFmtId="49" fontId="10" fillId="5" borderId="3" xfId="0" applyNumberFormat="1" applyFont="1" applyFill="1" applyBorder="1" applyAlignment="1" applyProtection="1">
      <alignment horizontal="left" wrapText="1"/>
      <protection locked="0"/>
    </xf>
    <xf numFmtId="0" fontId="8" fillId="5" borderId="7" xfId="0" applyNumberFormat="1" applyFont="1" applyFill="1" applyBorder="1" applyAlignment="1" applyProtection="1">
      <alignment horizontal="left" wrapText="1"/>
      <protection locked="0"/>
    </xf>
    <xf numFmtId="0" fontId="12" fillId="5" borderId="7" xfId="0" applyNumberFormat="1" applyFont="1" applyFill="1" applyBorder="1" applyAlignment="1" applyProtection="1">
      <alignment horizontal="left" wrapText="1"/>
      <protection locked="0"/>
    </xf>
    <xf numFmtId="1" fontId="11" fillId="4" borderId="15" xfId="2" applyNumberFormat="1" applyFont="1" applyFill="1" applyBorder="1" applyAlignment="1">
      <alignment horizontal="left" vertical="center"/>
    </xf>
    <xf numFmtId="49" fontId="9" fillId="5" borderId="1" xfId="0" applyNumberFormat="1" applyFont="1" applyFill="1" applyBorder="1" applyAlignment="1" applyProtection="1">
      <alignment horizontal="left" vertical="center" wrapText="1"/>
      <protection locked="0"/>
    </xf>
    <xf numFmtId="1" fontId="18" fillId="4" borderId="1" xfId="1" applyNumberFormat="1" applyFont="1" applyFill="1" applyBorder="1" applyAlignment="1">
      <alignment vertical="top" wrapText="1"/>
    </xf>
    <xf numFmtId="1" fontId="12" fillId="5" borderId="3" xfId="0" applyNumberFormat="1" applyFont="1" applyFill="1" applyBorder="1" applyAlignment="1" applyProtection="1">
      <alignment horizontal="left" wrapText="1"/>
      <protection locked="0"/>
    </xf>
    <xf numFmtId="0" fontId="14" fillId="0" borderId="11" xfId="0" applyFont="1" applyBorder="1" applyAlignment="1"/>
    <xf numFmtId="49" fontId="12" fillId="5" borderId="3" xfId="0" applyNumberFormat="1" applyFont="1" applyFill="1" applyBorder="1" applyAlignment="1" applyProtection="1">
      <alignment horizontal="left" wrapText="1"/>
      <protection locked="0"/>
    </xf>
    <xf numFmtId="0" fontId="8" fillId="5" borderId="3" xfId="0" applyNumberFormat="1" applyFont="1" applyFill="1" applyBorder="1" applyAlignment="1" applyProtection="1">
      <alignment horizontal="left" wrapText="1"/>
      <protection locked="0"/>
    </xf>
    <xf numFmtId="49" fontId="22" fillId="6" borderId="16" xfId="0" applyNumberFormat="1" applyFont="1" applyFill="1" applyBorder="1" applyAlignment="1" applyProtection="1">
      <alignment horizontal="left" vertical="top"/>
    </xf>
    <xf numFmtId="1" fontId="6" fillId="7" borderId="9" xfId="1" applyNumberFormat="1" applyFont="1" applyFill="1" applyBorder="1"/>
    <xf numFmtId="1" fontId="7" fillId="7" borderId="9" xfId="1" applyNumberFormat="1" applyFont="1" applyFill="1" applyBorder="1"/>
    <xf numFmtId="1" fontId="6" fillId="7" borderId="5" xfId="1" applyNumberFormat="1" applyFont="1" applyFill="1" applyBorder="1"/>
    <xf numFmtId="1" fontId="17" fillId="7" borderId="1" xfId="1" applyNumberFormat="1" applyFont="1" applyFill="1" applyBorder="1" applyAlignment="1">
      <alignment vertical="top" wrapText="1"/>
    </xf>
  </cellXfs>
  <cellStyles count="4">
    <cellStyle name="Normal 2" xfId="1"/>
    <cellStyle name="Normal 28" xfId="3"/>
    <cellStyle name="Normal 3 10" xfId="2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40</xdr:row>
          <xdr:rowOff>9525</xdr:rowOff>
        </xdr:from>
        <xdr:to>
          <xdr:col>3</xdr:col>
          <xdr:colOff>2495550</xdr:colOff>
          <xdr:row>40</xdr:row>
          <xdr:rowOff>1876425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xmlns="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Imager Automation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/>
    <pageSetUpPr fitToPage="1"/>
  </sheetPr>
  <dimension ref="A1:D41"/>
  <sheetViews>
    <sheetView showGridLines="0" tabSelected="1" zoomScaleNormal="100" zoomScaleSheetLayoutView="100" workbookViewId="0">
      <selection activeCell="B23" sqref="B23"/>
    </sheetView>
  </sheetViews>
  <sheetFormatPr defaultColWidth="9.28515625" defaultRowHeight="15" x14ac:dyDescent="0.25"/>
  <cols>
    <col min="1" max="1" width="38.28515625" style="1" bestFit="1" customWidth="1"/>
    <col min="2" max="2" width="39.7109375" style="1" bestFit="1" customWidth="1"/>
    <col min="3" max="3" width="81.5703125" style="3" customWidth="1"/>
    <col min="4" max="4" width="68.42578125" style="1" customWidth="1"/>
    <col min="5" max="16384" width="9.28515625" style="1"/>
  </cols>
  <sheetData>
    <row r="1" spans="1:3" ht="15.75" thickBot="1" x14ac:dyDescent="0.3">
      <c r="A1" s="37" t="s">
        <v>6</v>
      </c>
      <c r="B1" s="38"/>
      <c r="C1" s="39"/>
    </row>
    <row r="2" spans="1:3" x14ac:dyDescent="0.25">
      <c r="A2" s="4"/>
      <c r="B2" s="29" t="s">
        <v>19</v>
      </c>
      <c r="C2" s="4"/>
    </row>
    <row r="3" spans="1:3" ht="17.25" customHeight="1" x14ac:dyDescent="0.25">
      <c r="A3" s="8" t="s">
        <v>3</v>
      </c>
      <c r="B3" s="20" t="s">
        <v>80</v>
      </c>
      <c r="C3" s="5" t="s">
        <v>108</v>
      </c>
    </row>
    <row r="4" spans="1:3" ht="17.25" customHeight="1" thickBot="1" x14ac:dyDescent="0.3">
      <c r="A4" s="9" t="s">
        <v>39</v>
      </c>
      <c r="B4" s="21" t="s">
        <v>47</v>
      </c>
      <c r="C4" s="6" t="s">
        <v>105</v>
      </c>
    </row>
    <row r="5" spans="1:3" ht="17.25" customHeight="1" x14ac:dyDescent="0.25">
      <c r="A5" s="8" t="s">
        <v>7</v>
      </c>
      <c r="B5" s="20" t="s">
        <v>61</v>
      </c>
      <c r="C5" s="7" t="s">
        <v>52</v>
      </c>
    </row>
    <row r="6" spans="1:3" ht="17.25" customHeight="1" x14ac:dyDescent="0.25">
      <c r="A6" s="8" t="s">
        <v>8</v>
      </c>
      <c r="B6" s="22" t="s">
        <v>13</v>
      </c>
      <c r="C6" s="5" t="s">
        <v>106</v>
      </c>
    </row>
    <row r="7" spans="1:3" ht="17.25" customHeight="1" x14ac:dyDescent="0.25">
      <c r="A7" s="8" t="s">
        <v>9</v>
      </c>
      <c r="B7" s="22" t="s">
        <v>14</v>
      </c>
      <c r="C7" s="5" t="s">
        <v>107</v>
      </c>
    </row>
    <row r="8" spans="1:3" ht="17.25" customHeight="1" x14ac:dyDescent="0.25">
      <c r="A8" s="8" t="s">
        <v>37</v>
      </c>
      <c r="B8" s="22" t="s">
        <v>15</v>
      </c>
      <c r="C8" s="5" t="s">
        <v>109</v>
      </c>
    </row>
    <row r="9" spans="1:3" ht="17.25" customHeight="1" x14ac:dyDescent="0.25">
      <c r="A9" s="8" t="s">
        <v>41</v>
      </c>
      <c r="B9" s="22" t="s">
        <v>40</v>
      </c>
      <c r="C9" s="5"/>
    </row>
    <row r="10" spans="1:3" ht="17.25" customHeight="1" thickBot="1" x14ac:dyDescent="0.3">
      <c r="A10" s="9" t="s">
        <v>10</v>
      </c>
      <c r="B10" s="21" t="s">
        <v>16</v>
      </c>
      <c r="C10" s="6"/>
    </row>
    <row r="11" spans="1:3" ht="17.25" customHeight="1" x14ac:dyDescent="0.25">
      <c r="A11" s="8" t="s">
        <v>0</v>
      </c>
      <c r="B11" s="20" t="s">
        <v>11</v>
      </c>
      <c r="C11" s="7"/>
    </row>
    <row r="12" spans="1:3" ht="17.25" customHeight="1" x14ac:dyDescent="0.25">
      <c r="A12" s="8" t="s">
        <v>20</v>
      </c>
      <c r="B12" s="22" t="s">
        <v>12</v>
      </c>
      <c r="C12" s="5"/>
    </row>
    <row r="13" spans="1:3" ht="17.25" customHeight="1" x14ac:dyDescent="0.25">
      <c r="A13" s="8" t="s">
        <v>5</v>
      </c>
      <c r="B13" s="22" t="s">
        <v>17</v>
      </c>
      <c r="C13" s="36"/>
    </row>
    <row r="14" spans="1:3" ht="17.25" customHeight="1" x14ac:dyDescent="0.25">
      <c r="A14" s="8" t="s">
        <v>1</v>
      </c>
      <c r="B14" s="28">
        <v>500</v>
      </c>
      <c r="C14" s="27"/>
    </row>
    <row r="15" spans="1:3" ht="17.25" hidden="1" customHeight="1" x14ac:dyDescent="0.25">
      <c r="A15" s="8" t="s">
        <v>42</v>
      </c>
      <c r="B15" s="22" t="s">
        <v>38</v>
      </c>
      <c r="C15" s="5"/>
    </row>
    <row r="16" spans="1:3" ht="17.25" customHeight="1" thickBot="1" x14ac:dyDescent="0.3">
      <c r="A16" s="9" t="s">
        <v>65</v>
      </c>
      <c r="B16" s="21" t="s">
        <v>66</v>
      </c>
      <c r="C16" s="6"/>
    </row>
    <row r="17" spans="1:4" ht="17.25" customHeight="1" x14ac:dyDescent="0.25">
      <c r="A17" s="8" t="s">
        <v>46</v>
      </c>
      <c r="B17" s="20" t="s">
        <v>104</v>
      </c>
      <c r="C17" s="7"/>
    </row>
    <row r="18" spans="1:4" ht="17.25" customHeight="1" x14ac:dyDescent="0.25">
      <c r="A18" s="8" t="s">
        <v>43</v>
      </c>
      <c r="B18" s="22" t="s">
        <v>81</v>
      </c>
      <c r="C18" s="5"/>
    </row>
    <row r="19" spans="1:4" x14ac:dyDescent="0.25">
      <c r="A19" s="8" t="s">
        <v>44</v>
      </c>
      <c r="B19" s="22" t="s">
        <v>45</v>
      </c>
      <c r="C19" s="5"/>
    </row>
    <row r="20" spans="1:4" x14ac:dyDescent="0.25">
      <c r="A20" s="8" t="s">
        <v>36</v>
      </c>
      <c r="B20" s="22" t="s">
        <v>35</v>
      </c>
      <c r="C20" s="5"/>
    </row>
    <row r="21" spans="1:4" x14ac:dyDescent="0.25">
      <c r="A21" s="8" t="s">
        <v>25</v>
      </c>
      <c r="B21" s="32" t="s">
        <v>26</v>
      </c>
      <c r="C21" s="5"/>
    </row>
    <row r="22" spans="1:4" x14ac:dyDescent="0.25">
      <c r="A22" s="8" t="s">
        <v>27</v>
      </c>
      <c r="B22" s="22" t="s">
        <v>28</v>
      </c>
      <c r="C22" s="5"/>
    </row>
    <row r="23" spans="1:4" x14ac:dyDescent="0.25">
      <c r="A23" s="8" t="s">
        <v>29</v>
      </c>
      <c r="B23" s="22" t="s">
        <v>30</v>
      </c>
      <c r="C23" s="5"/>
      <c r="D23" s="2"/>
    </row>
    <row r="24" spans="1:4" hidden="1" x14ac:dyDescent="0.25">
      <c r="A24" s="8" t="s">
        <v>22</v>
      </c>
      <c r="B24" s="22" t="s">
        <v>31</v>
      </c>
      <c r="C24" s="5"/>
      <c r="D24" s="2"/>
    </row>
    <row r="25" spans="1:4" hidden="1" x14ac:dyDescent="0.25">
      <c r="A25" s="8" t="s">
        <v>21</v>
      </c>
      <c r="B25" s="22" t="s">
        <v>32</v>
      </c>
      <c r="C25" s="5"/>
      <c r="D25" s="2"/>
    </row>
    <row r="26" spans="1:4" hidden="1" x14ac:dyDescent="0.25">
      <c r="A26" s="8" t="s">
        <v>23</v>
      </c>
      <c r="B26" s="22" t="s">
        <v>33</v>
      </c>
      <c r="C26" s="5"/>
      <c r="D26" s="2"/>
    </row>
    <row r="27" spans="1:4" hidden="1" x14ac:dyDescent="0.25">
      <c r="A27" s="8" t="s">
        <v>24</v>
      </c>
      <c r="B27" s="22" t="s">
        <v>34</v>
      </c>
      <c r="C27" s="5"/>
      <c r="D27" s="2"/>
    </row>
    <row r="28" spans="1:4" ht="15.75" thickBot="1" x14ac:dyDescent="0.3">
      <c r="A28" s="9" t="s">
        <v>4</v>
      </c>
      <c r="B28" s="21" t="s">
        <v>18</v>
      </c>
      <c r="C28" s="6"/>
    </row>
    <row r="29" spans="1:4" ht="120.75" hidden="1" customHeight="1" thickBot="1" x14ac:dyDescent="0.3">
      <c r="A29" s="25" t="s">
        <v>2</v>
      </c>
      <c r="B29" s="23"/>
      <c r="C29" s="24" t="str">
        <f>IF(C3="","","Project Name: "&amp;C3&amp;"; ")&amp;IF(C4="","","Custodian: "&amp;C4&amp;"; ")&amp;IF(C5="","","Device Type: "&amp;C5&amp;"; ")&amp;IF(C6="","","Device Manufacturer: "&amp;C6&amp;"; ")&amp;IF(C7="","","Device Model: "&amp;C7&amp;"; ")&amp;IF(C8="","","Device Physical Serial Number: "&amp;C8&amp;"; ")&amp;IF(C9="","","Device/Machine Name: "&amp;C9&amp;"; ")&amp;IF(C10="","","Device Asset Tag: "&amp;C10&amp;"; ")&amp;IF(C11="","","HDD Manufacturer: "&amp;C11&amp;"; ")&amp;IF(C12="","","HDD Model Number: "&amp;C12&amp;"; ")&amp;IF(C13="","","HDD Serial Number: "&amp;C13&amp;"; ")&amp;IF(C14="","","HDD Size: "&amp;C14&amp;"; ")&amp;IF(C15="","","HDD Logical Serial Number: "&amp;C15&amp;"; ")&amp;IF(C16="","","HDD Size Type: "&amp;C16&amp;"; ")&amp;IF(C17="","","Compression: "&amp;C17&amp;"; ")&amp;IF(C18="","","Encryption: "&amp;C18&amp;"; ")&amp;IF(C19="","","Key Check: "&amp;C19&amp;"; ")&amp;IF(C20="","","Sim Present: "&amp;C20&amp;"; ")&amp;IF(C21="","","IMEI: "&amp;C21&amp;"; ")&amp;IF(C22="","","ICCID: "&amp;C22&amp;"; ")&amp;IF(C23="","","SIM-PIN: "&amp;C23&amp;"; ")&amp;IF(C24="","","USIM Logical Started: "&amp;C24&amp;"; ")&amp;IF(C25="","","SIM Logical Started: "&amp;C25&amp;"; ")&amp;IF(C26="","","USIM FileSystem Started: "&amp;C26&amp;"; ")&amp;IF(C27="","","SIM FileSystem Started: "&amp;C27&amp;"; ")&amp;IF(C28="","","Other Notes: "&amp;C28&amp;"; ")</f>
        <v xml:space="preserve">Project Name: Project Testing; Custodian: No Specific Custodian; Device Type: Storage - NAS; Device Manufacturer: NETGEAR ; Device Model: ReadyNAS 2304; Device Physical Serial Number: 1337; </v>
      </c>
      <c r="D29" s="3"/>
    </row>
    <row r="30" spans="1:4" ht="120.75" customHeight="1" thickBot="1" x14ac:dyDescent="0.3">
      <c r="A30" s="25" t="s">
        <v>2</v>
      </c>
      <c r="B30" s="23"/>
      <c r="C30" s="40" t="str">
        <f>SUBSTITUTE(C29,CHAR(34)," ")</f>
        <v xml:space="preserve">Project Name: Project Testing; Custodian: No Specific Custodian; Device Type: Storage - NAS; Device Manufacturer: NETGEAR ; Device Model: ReadyNAS 2304; Device Physical Serial Number: 1337; </v>
      </c>
      <c r="D30" s="3"/>
    </row>
    <row r="31" spans="1:4" x14ac:dyDescent="0.25">
      <c r="A31" s="8" t="s">
        <v>103</v>
      </c>
      <c r="B31" s="20" t="s">
        <v>102</v>
      </c>
      <c r="C31" s="7"/>
    </row>
    <row r="32" spans="1:4" x14ac:dyDescent="0.25">
      <c r="A32" s="8" t="s">
        <v>87</v>
      </c>
      <c r="B32" s="22" t="s">
        <v>100</v>
      </c>
      <c r="C32" s="5" t="s">
        <v>92</v>
      </c>
    </row>
    <row r="33" spans="1:4" x14ac:dyDescent="0.25">
      <c r="A33" s="8" t="s">
        <v>88</v>
      </c>
      <c r="B33" s="22" t="s">
        <v>111</v>
      </c>
      <c r="C33" s="5"/>
    </row>
    <row r="34" spans="1:4" x14ac:dyDescent="0.25">
      <c r="A34" s="8" t="s">
        <v>89</v>
      </c>
      <c r="B34" s="20" t="s">
        <v>110</v>
      </c>
      <c r="C34" s="5"/>
    </row>
    <row r="35" spans="1:4" x14ac:dyDescent="0.25">
      <c r="A35" s="8" t="s">
        <v>90</v>
      </c>
      <c r="B35" s="22" t="s">
        <v>112</v>
      </c>
      <c r="C35" s="22"/>
    </row>
    <row r="36" spans="1:4" x14ac:dyDescent="0.25">
      <c r="A36" s="8" t="s">
        <v>91</v>
      </c>
      <c r="B36" s="22" t="s">
        <v>111</v>
      </c>
      <c r="C36" s="5"/>
    </row>
    <row r="37" spans="1:4" x14ac:dyDescent="0.25">
      <c r="A37" s="8" t="s">
        <v>95</v>
      </c>
      <c r="B37" s="22">
        <v>1024</v>
      </c>
      <c r="C37" s="5" t="s">
        <v>96</v>
      </c>
    </row>
    <row r="38" spans="1:4" x14ac:dyDescent="0.25">
      <c r="A38" s="8" t="s">
        <v>46</v>
      </c>
      <c r="B38" s="22" t="s">
        <v>104</v>
      </c>
      <c r="C38" s="27">
        <v>3</v>
      </c>
    </row>
    <row r="39" spans="1:4" x14ac:dyDescent="0.25">
      <c r="A39" s="8" t="s">
        <v>97</v>
      </c>
      <c r="B39" s="22" t="s">
        <v>98</v>
      </c>
      <c r="C39" s="27"/>
    </row>
    <row r="40" spans="1:4" ht="15.75" thickBot="1" x14ac:dyDescent="0.3">
      <c r="A40" s="26" t="s">
        <v>101</v>
      </c>
      <c r="B40" s="34" t="s">
        <v>99</v>
      </c>
      <c r="C40" s="35"/>
    </row>
    <row r="41" spans="1:4" ht="150" customHeight="1" thickBot="1" x14ac:dyDescent="0.3">
      <c r="A41" s="25" t="s">
        <v>86</v>
      </c>
      <c r="B41" s="30"/>
      <c r="C41" s="31" t="str">
        <f>"FTKAutomater.exe "&amp;IF(C31&lt;&gt;""," -p "&amp;CHAR(34)&amp;C31&amp;CHAR(34)&amp;"","")&amp;IF(C32&lt;&gt;""," -t "&amp;CHAR(34)&amp;C32&amp;CHAR(34)&amp;"","")&amp;IF(C3&lt;&gt;""," -c "&amp;CHAR(34)&amp;C3&amp;CHAR(34)&amp;"","")&amp;IF(C33&lt;&gt;""," -ev "&amp;CHAR(34)&amp;C33&amp;CHAR(34)&amp;"","")&amp;IF(C34&lt;&gt;""," -e "&amp;CHAR(34)&amp;C34&amp;CHAR(34)&amp;"","")&amp;IF(C30&lt;&gt;""," -n "&amp;CHAR(34)&amp;C30&amp;CHAR(34)&amp;"","")&amp;IF(C35&lt;&gt;""," -d "&amp;CHAR(34)&amp;C35&amp;" "&amp;CHAR(34)&amp;"","")&amp;IF(C36&lt;&gt;""," -f "&amp;CHAR(34)&amp;C36&amp;CHAR(34)&amp;"","")&amp;IF(C37&lt;&gt;""," -s "&amp;CHAR(34)&amp;C37&amp;CHAR(34)&amp;"","")&amp;IF(C38&lt;&gt;""," -co "&amp;CHAR(34)&amp;C38&amp;CHAR(34)&amp;"","")&amp;IF(C40&lt;&gt;""," -tf "&amp;CHAR(34)&amp;C40&amp;CHAR(34)&amp;"","")</f>
        <v>FTKAutomater.exe  -t "targeted" -c "Project Testing" -n "Project Name: Project Testing; Custodian: No Specific Custodian; Device Type: Storage - NAS; Device Manufacturer: NETGEAR ; Device Model: ReadyNAS 2304; Device Physical Serial Number: 1337; " -s "1024" -co "3"</v>
      </c>
      <c r="D41" s="3"/>
    </row>
  </sheetData>
  <phoneticPr fontId="2" type="noConversion"/>
  <pageMargins left="0.7" right="0.7" top="0.75" bottom="0.75" header="0.3" footer="0.3"/>
  <pageSetup scale="71" fitToHeight="0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run_CMD_as_Admin">
                <anchor moveWithCells="1" sizeWithCells="1">
                  <from>
                    <xdr:col>3</xdr:col>
                    <xdr:colOff>28575</xdr:colOff>
                    <xdr:row>40</xdr:row>
                    <xdr:rowOff>9525</xdr:rowOff>
                  </from>
                  <to>
                    <xdr:col>3</xdr:col>
                    <xdr:colOff>2495550</xdr:colOff>
                    <xdr:row>40</xdr:row>
                    <xdr:rowOff>1876425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List!$E$6:$E$9</xm:f>
          </x14:formula1>
          <xm:sqref>C16</xm:sqref>
        </x14:dataValidation>
        <x14:dataValidation type="list" allowBlank="1" showInputMessage="1" showErrorMessage="1">
          <x14:formula1>
            <xm:f>List!$F$6:$F$14</xm:f>
          </x14:formula1>
          <xm:sqref>C18</xm:sqref>
        </x14:dataValidation>
        <x14:dataValidation type="list" allowBlank="1" showInputMessage="1" showErrorMessage="1">
          <x14:formula1>
            <xm:f>List!$D$6:$D$26</xm:f>
          </x14:formula1>
          <xm:sqref>C5</xm:sqref>
        </x14:dataValidation>
        <x14:dataValidation type="list" allowBlank="1" showInputMessage="1" showErrorMessage="1">
          <x14:formula1>
            <xm:f>List!$G$6:$G$8</xm:f>
          </x14:formula1>
          <xm:sqref>C32</xm:sqref>
        </x14:dataValidation>
        <x14:dataValidation type="list" allowBlank="1" showInputMessage="1" showErrorMessage="1">
          <x14:formula1>
            <xm:f>List!$H$6:$H$15</xm:f>
          </x14:formula1>
          <xm:sqref>C38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5:H26"/>
  <sheetViews>
    <sheetView showGridLines="0" workbookViewId="0">
      <selection activeCell="H6" sqref="H6:H15"/>
    </sheetView>
  </sheetViews>
  <sheetFormatPr defaultRowHeight="12.75" x14ac:dyDescent="0.2"/>
  <cols>
    <col min="1" max="3" width="9.140625" style="10"/>
    <col min="4" max="4" width="29.85546875" style="10" bestFit="1" customWidth="1"/>
    <col min="5" max="5" width="9.140625" style="10"/>
    <col min="6" max="6" width="14.28515625" style="10" bestFit="1" customWidth="1"/>
    <col min="7" max="16384" width="9.140625" style="10"/>
  </cols>
  <sheetData>
    <row r="5" spans="4:8" x14ac:dyDescent="0.2">
      <c r="D5" s="11" t="s">
        <v>7</v>
      </c>
      <c r="E5" s="11" t="s">
        <v>67</v>
      </c>
      <c r="F5" s="17" t="s">
        <v>71</v>
      </c>
      <c r="G5" s="11" t="s">
        <v>87</v>
      </c>
      <c r="H5" s="11" t="s">
        <v>46</v>
      </c>
    </row>
    <row r="6" spans="4:8" x14ac:dyDescent="0.2">
      <c r="D6" s="12" t="s">
        <v>48</v>
      </c>
      <c r="E6" s="12" t="s">
        <v>68</v>
      </c>
      <c r="F6" s="18" t="s">
        <v>72</v>
      </c>
      <c r="G6" s="12" t="s">
        <v>92</v>
      </c>
      <c r="H6" s="12">
        <v>0</v>
      </c>
    </row>
    <row r="7" spans="4:8" x14ac:dyDescent="0.2">
      <c r="D7" s="12" t="s">
        <v>49</v>
      </c>
      <c r="E7" s="12" t="s">
        <v>69</v>
      </c>
      <c r="F7" s="18" t="s">
        <v>73</v>
      </c>
      <c r="G7" s="12" t="s">
        <v>93</v>
      </c>
      <c r="H7" s="12">
        <v>1</v>
      </c>
    </row>
    <row r="8" spans="4:8" x14ac:dyDescent="0.2">
      <c r="D8" s="12" t="s">
        <v>50</v>
      </c>
      <c r="E8" s="12" t="s">
        <v>66</v>
      </c>
      <c r="F8" s="18" t="s">
        <v>74</v>
      </c>
      <c r="G8" s="12" t="s">
        <v>94</v>
      </c>
      <c r="H8" s="12">
        <v>2</v>
      </c>
    </row>
    <row r="9" spans="4:8" x14ac:dyDescent="0.2">
      <c r="D9" s="12" t="s">
        <v>51</v>
      </c>
      <c r="E9" s="12" t="s">
        <v>70</v>
      </c>
      <c r="F9" s="18" t="s">
        <v>75</v>
      </c>
      <c r="H9" s="12">
        <v>3</v>
      </c>
    </row>
    <row r="10" spans="4:8" x14ac:dyDescent="0.2">
      <c r="D10" s="12" t="s">
        <v>52</v>
      </c>
      <c r="F10" s="18" t="s">
        <v>76</v>
      </c>
      <c r="H10" s="33">
        <v>4</v>
      </c>
    </row>
    <row r="11" spans="4:8" x14ac:dyDescent="0.2">
      <c r="D11" s="12" t="s">
        <v>85</v>
      </c>
      <c r="F11" s="18" t="s">
        <v>77</v>
      </c>
      <c r="H11" s="12">
        <v>5</v>
      </c>
    </row>
    <row r="12" spans="4:8" x14ac:dyDescent="0.2">
      <c r="D12" s="12" t="s">
        <v>53</v>
      </c>
      <c r="F12" s="18" t="s">
        <v>78</v>
      </c>
      <c r="H12" s="12">
        <v>6</v>
      </c>
    </row>
    <row r="13" spans="4:8" x14ac:dyDescent="0.2">
      <c r="D13" s="12" t="s">
        <v>54</v>
      </c>
      <c r="F13" s="19" t="s">
        <v>79</v>
      </c>
      <c r="H13" s="12">
        <v>7</v>
      </c>
    </row>
    <row r="14" spans="4:8" x14ac:dyDescent="0.2">
      <c r="D14" s="12" t="s">
        <v>55</v>
      </c>
      <c r="F14" s="18" t="s">
        <v>64</v>
      </c>
      <c r="H14" s="33">
        <v>8</v>
      </c>
    </row>
    <row r="15" spans="4:8" x14ac:dyDescent="0.2">
      <c r="D15" s="13" t="s">
        <v>56</v>
      </c>
      <c r="H15" s="12">
        <v>9</v>
      </c>
    </row>
    <row r="16" spans="4:8" x14ac:dyDescent="0.2">
      <c r="D16" s="14" t="s">
        <v>57</v>
      </c>
    </row>
    <row r="17" spans="4:4" x14ac:dyDescent="0.2">
      <c r="D17" s="15" t="s">
        <v>58</v>
      </c>
    </row>
    <row r="18" spans="4:4" x14ac:dyDescent="0.2">
      <c r="D18" s="15" t="s">
        <v>59</v>
      </c>
    </row>
    <row r="19" spans="4:4" x14ac:dyDescent="0.2">
      <c r="D19" s="15" t="s">
        <v>60</v>
      </c>
    </row>
    <row r="20" spans="4:4" x14ac:dyDescent="0.2">
      <c r="D20" s="15" t="s">
        <v>61</v>
      </c>
    </row>
    <row r="21" spans="4:4" x14ac:dyDescent="0.2">
      <c r="D21" s="15" t="s">
        <v>62</v>
      </c>
    </row>
    <row r="22" spans="4:4" x14ac:dyDescent="0.2">
      <c r="D22" s="15" t="s">
        <v>63</v>
      </c>
    </row>
    <row r="23" spans="4:4" x14ac:dyDescent="0.2">
      <c r="D23" s="15" t="s">
        <v>82</v>
      </c>
    </row>
    <row r="24" spans="4:4" x14ac:dyDescent="0.2">
      <c r="D24" s="15" t="s">
        <v>83</v>
      </c>
    </row>
    <row r="25" spans="4:4" x14ac:dyDescent="0.2">
      <c r="D25" s="15" t="s">
        <v>84</v>
      </c>
    </row>
    <row r="26" spans="4:4" x14ac:dyDescent="0.2">
      <c r="D26" s="16" t="s">
        <v>64</v>
      </c>
    </row>
  </sheetData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0BADB1BBA49184DA5E4ABAAB0A83D87" ma:contentTypeVersion="9" ma:contentTypeDescription="Create a new document." ma:contentTypeScope="" ma:versionID="eae593edb6aa70ad304bae01c9ba9816">
  <xsd:schema xmlns:xsd="http://www.w3.org/2001/XMLSchema" xmlns:xs="http://www.w3.org/2001/XMLSchema" xmlns:p="http://schemas.microsoft.com/office/2006/metadata/properties" xmlns:ns2="a3fa68a4-51de-4eee-b149-614dd1342259" xmlns:ns3="f1c4a83e-de2f-4938-b782-29c358cd4715" targetNamespace="http://schemas.microsoft.com/office/2006/metadata/properties" ma:root="true" ma:fieldsID="e647f0c41cfb5cdd0e2c555d363665c9" ns2:_="" ns3:_="">
    <xsd:import namespace="a3fa68a4-51de-4eee-b149-614dd1342259"/>
    <xsd:import namespace="f1c4a83e-de2f-4938-b782-29c358cd471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fa68a4-51de-4eee-b149-614dd13422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c4a83e-de2f-4938-b782-29c358cd4715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15A9B62-C7D4-4745-9F56-9FA1C688B5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fa68a4-51de-4eee-b149-614dd1342259"/>
    <ds:schemaRef ds:uri="f1c4a83e-de2f-4938-b782-29c358cd47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58449BE-4A8C-4EED-9CCE-90285B1080BA}">
  <ds:schemaRefs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f1c4a83e-de2f-4938-b782-29c358cd4715"/>
    <ds:schemaRef ds:uri="http://purl.org/dc/terms/"/>
    <ds:schemaRef ds:uri="a3fa68a4-51de-4eee-b149-614dd1342259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58197C8-E2D7-4C55-BA95-C96260E0FEB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2</vt:i4>
      </vt:variant>
    </vt:vector>
  </HeadingPairs>
  <TitlesOfParts>
    <vt:vector size="4" baseType="lpstr">
      <vt:lpstr>Device Imaging Notes</vt:lpstr>
      <vt:lpstr>List</vt:lpstr>
      <vt:lpstr>'Device Imaging Notes'!Afdrukbereik</vt:lpstr>
      <vt:lpstr>DataValidationRange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Deloitte</dc:creator>
  <cp:lastModifiedBy>Christiaan</cp:lastModifiedBy>
  <dcterms:created xsi:type="dcterms:W3CDTF">2011-12-08T22:14:50Z</dcterms:created>
  <dcterms:modified xsi:type="dcterms:W3CDTF">2021-09-04T15:48:42Z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0x010100B0BADB1BBA49184DA5E4ABAAB0A83D87</vt:lpwstr>
  </property>
  <property fmtid="{D5CDD505-2E9C-101B-9397-08002B2CF9AE}" pid="3" name="AuthorIds_UIVersion_1536">
    <vt:lpwstr>21</vt:lpwstr>
  </property>
</Properties>
</file>