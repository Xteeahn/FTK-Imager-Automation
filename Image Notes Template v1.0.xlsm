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mastop\Deloitte (O365D)\NL FA Discovery - Documenten\General\04. Templates &amp; SOP's\02. Preservation &amp; Collection\00. Templates\"/>
    </mc:Choice>
  </mc:AlternateContent>
  <xr:revisionPtr revIDLastSave="0" documentId="10_ncr:100000_{4C46BE44-9B1E-4BEB-95EF-F4D1CBBAA234}" xr6:coauthVersionLast="31" xr6:coauthVersionMax="31" xr10:uidLastSave="{00000000-0000-0000-0000-000000000000}"/>
  <bookViews>
    <workbookView xWindow="0" yWindow="0" windowWidth="28800" windowHeight="10425" xr2:uid="{00000000-000D-0000-FFFF-FFFF00000000}"/>
  </bookViews>
  <sheets>
    <sheet name="Device Imaging Notes" sheetId="1" r:id="rId1"/>
    <sheet name="Mobile Imaging Notes" sheetId="2" r:id="rId2"/>
    <sheet name="Network Imaging Notes" sheetId="3" r:id="rId3"/>
    <sheet name="List" sheetId="4" r:id="rId4"/>
  </sheets>
  <definedNames>
    <definedName name="DataValidationRange" localSheetId="0">'Device Imaging Notes'!$C$16:$C$18,'Device Imaging Notes'!$C$5,'Device Imaging Notes'!$C$32,'Device Imaging Notes'!$C$38</definedName>
    <definedName name="_xlnm.Print_Area" localSheetId="0">'Device Imaging Notes'!$A$1:$C$29</definedName>
    <definedName name="_xlnm.Print_Area" localSheetId="2">'Network Imaging Notes'!$A$1:$C$11</definedName>
    <definedName name="SIM_MMC" localSheetId="2">'Network Imaging Notes'!#REF!</definedName>
    <definedName name="SIM_MMC">'Device Imaging Notes'!#REF!</definedName>
  </definedNames>
  <calcPr calcId="179017" calcOnSave="0"/>
  <fileRecoveryPr repairLoad="1"/>
</workbook>
</file>

<file path=xl/calcChain.xml><?xml version="1.0" encoding="utf-8"?>
<calcChain xmlns="http://schemas.openxmlformats.org/spreadsheetml/2006/main">
  <c r="C21" i="3" l="1"/>
  <c r="C49" i="2"/>
  <c r="C12" i="3"/>
  <c r="C40" i="2"/>
  <c r="C29" i="1"/>
  <c r="C30" i="1" s="1"/>
  <c r="C39" i="1" s="1"/>
  <c r="C39" i="2" l="1"/>
  <c r="C11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jamecook</author>
    <author>Mastop, Christiaan (NL - Amsterdam)</author>
  </authors>
  <commentList>
    <comment ref="C2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Copy and Paste this cell into the Notes section of your imaging tool</t>
        </r>
      </text>
    </comment>
    <comment ref="C30" authorId="1" shapeId="0" xr:uid="{6391BEA5-B75C-456B-B2DC-9937229C7892}">
      <text>
        <r>
          <rPr>
            <b/>
            <sz val="9"/>
            <color indexed="81"/>
            <rFont val="Tahoma"/>
            <family val="2"/>
          </rPr>
          <t>Mastop, Christiaan (NL - Amsterdam):</t>
        </r>
        <r>
          <rPr>
            <sz val="9"/>
            <color indexed="81"/>
            <rFont val="Tahoma"/>
            <family val="2"/>
          </rPr>
          <t xml:space="preserve">
You can copy this into the "Notes" section in FTK imager</t>
        </r>
      </text>
    </comment>
    <comment ref="C31" authorId="1" shapeId="0" xr:uid="{EF693281-668D-4E42-932E-08C7F9F13363}">
      <text>
        <r>
          <rPr>
            <b/>
            <sz val="9"/>
            <color indexed="81"/>
            <rFont val="Tahoma"/>
            <family val="2"/>
          </rPr>
          <t>Mastop, Christiaan (NL - Amsterdam):</t>
        </r>
        <r>
          <rPr>
            <sz val="9"/>
            <color indexed="81"/>
            <rFont val="Tahoma"/>
            <family val="2"/>
          </rPr>
          <t xml:space="preserve">
Leave empty for physical and logical imaging</t>
        </r>
      </text>
    </comment>
    <comment ref="C39" authorId="1" shapeId="0" xr:uid="{1C70DEF8-CA1C-4A73-B7EE-E9DCFA2C6C12}">
      <text>
        <r>
          <rPr>
            <b/>
            <sz val="9"/>
            <color indexed="81"/>
            <rFont val="Tahoma"/>
            <family val="2"/>
          </rPr>
          <t>Mastop, Christiaan (NL - Amsterdam):</t>
        </r>
        <r>
          <rPr>
            <sz val="9"/>
            <color indexed="81"/>
            <rFont val="Tahoma"/>
            <family val="2"/>
          </rPr>
          <t xml:space="preserve">
Copy the command into a Command Prompt window with elevated privileges (administrator)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jamecook</author>
    <author>Mastop, Christiaan (NL - Amsterdam)</author>
  </authors>
  <commentList>
    <comment ref="C39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Copy and Paste this cell into the Notes section of your imaging tool</t>
        </r>
      </text>
    </comment>
    <comment ref="C41" authorId="1" shapeId="0" xr:uid="{26427ADE-0A04-446E-87B6-534499187077}">
      <text>
        <r>
          <rPr>
            <b/>
            <sz val="9"/>
            <color indexed="81"/>
            <rFont val="Tahoma"/>
            <family val="2"/>
          </rPr>
          <t>Mastop, Christiaan (NL - Amsterdam):</t>
        </r>
        <r>
          <rPr>
            <sz val="9"/>
            <color indexed="81"/>
            <rFont val="Tahoma"/>
            <family val="2"/>
          </rPr>
          <t xml:space="preserve">
Leave empty for physical and logical imaging</t>
        </r>
      </text>
    </comment>
    <comment ref="C49" authorId="1" shapeId="0" xr:uid="{19EB2281-F5BB-4CAC-B234-1D43CECBC052}">
      <text>
        <r>
          <rPr>
            <b/>
            <sz val="9"/>
            <color indexed="81"/>
            <rFont val="Tahoma"/>
            <family val="2"/>
          </rPr>
          <t>Mastop, Christiaan (NL - Amsterdam):</t>
        </r>
        <r>
          <rPr>
            <sz val="9"/>
            <color indexed="81"/>
            <rFont val="Tahoma"/>
            <family val="2"/>
          </rPr>
          <t xml:space="preserve">
Copy the command into a Command Prompt window with elevated privileges (administrator)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jamecook</author>
    <author>Mastop, Christiaan (NL - Amsterdam)</author>
  </authors>
  <commentList>
    <comment ref="C1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Copy and Paste this cell into the Notes section of your imaging tool</t>
        </r>
      </text>
    </comment>
    <comment ref="C13" authorId="1" shapeId="0" xr:uid="{68F507B1-1A2F-416E-A434-011047FBC36D}">
      <text>
        <r>
          <rPr>
            <b/>
            <sz val="9"/>
            <color indexed="81"/>
            <rFont val="Tahoma"/>
            <family val="2"/>
          </rPr>
          <t>Mastop, Christiaan (NL - Amsterdam):</t>
        </r>
        <r>
          <rPr>
            <sz val="9"/>
            <color indexed="81"/>
            <rFont val="Tahoma"/>
            <family val="2"/>
          </rPr>
          <t xml:space="preserve">
Leave empty for physical and logical imaging</t>
        </r>
      </text>
    </comment>
    <comment ref="C21" authorId="1" shapeId="0" xr:uid="{FAF37C64-6DD5-4BBC-B886-D1A4843C8CF4}">
      <text>
        <r>
          <rPr>
            <b/>
            <sz val="9"/>
            <color indexed="81"/>
            <rFont val="Tahoma"/>
            <family val="2"/>
          </rPr>
          <t>Mastop, Christiaan (NL - Amsterdam):</t>
        </r>
        <r>
          <rPr>
            <sz val="9"/>
            <color indexed="81"/>
            <rFont val="Tahoma"/>
            <family val="2"/>
          </rPr>
          <t xml:space="preserve">
Copy the command into a Command Prompt window with elevated privileges (administrator)</t>
        </r>
      </text>
    </comment>
  </commentList>
</comments>
</file>

<file path=xl/sharedStrings.xml><?xml version="1.0" encoding="utf-8"?>
<sst xmlns="http://schemas.openxmlformats.org/spreadsheetml/2006/main" count="244" uniqueCount="149">
  <si>
    <t>HDD Manufacturer</t>
  </si>
  <si>
    <t>HDD Size</t>
  </si>
  <si>
    <t>NOTES</t>
  </si>
  <si>
    <t>Project Name</t>
  </si>
  <si>
    <t>Other Notes</t>
  </si>
  <si>
    <t>HDD Serial Number</t>
  </si>
  <si>
    <t>Device Imaging Notes Template</t>
  </si>
  <si>
    <t>Device Type</t>
  </si>
  <si>
    <t>Device Serial Number</t>
  </si>
  <si>
    <t>Device Manufacturer</t>
  </si>
  <si>
    <t>Device Model Number</t>
  </si>
  <si>
    <t>Device Asset Tag</t>
  </si>
  <si>
    <t>Seagate</t>
  </si>
  <si>
    <t>ST100</t>
  </si>
  <si>
    <t>Lenovo</t>
  </si>
  <si>
    <t>T420s</t>
  </si>
  <si>
    <t>LNO123</t>
  </si>
  <si>
    <t>DEL999</t>
  </si>
  <si>
    <t>S123456789</t>
  </si>
  <si>
    <t>N/A</t>
  </si>
  <si>
    <t>Example</t>
  </si>
  <si>
    <t>HDD Model Number</t>
  </si>
  <si>
    <t>Logical Start Date/Time</t>
  </si>
  <si>
    <t>FileSystem Start Date/Time</t>
  </si>
  <si>
    <t>Physical Start Date/Time</t>
  </si>
  <si>
    <t>Advanced Logical 1 Start Date/Time</t>
  </si>
  <si>
    <t>Advanced Logical 2 Start Date/Time</t>
  </si>
  <si>
    <t>SIM Logical Start Date/Time</t>
  </si>
  <si>
    <t>USIM Logical Start Date/Time</t>
  </si>
  <si>
    <t>USIM FileSystem Start Date/Time</t>
  </si>
  <si>
    <t>SIM FileSystem Start Date/Time</t>
  </si>
  <si>
    <t>Blackberry</t>
  </si>
  <si>
    <t>Z3 STJ100-1</t>
  </si>
  <si>
    <t>1234-1234-1234</t>
  </si>
  <si>
    <t>Media Card Manufacturer</t>
  </si>
  <si>
    <t>Kingston</t>
  </si>
  <si>
    <t>Media Card Model Number</t>
  </si>
  <si>
    <t>SDCA10/32GB</t>
  </si>
  <si>
    <t>Media Card Serial Number</t>
  </si>
  <si>
    <t>N0123-001.A00LF</t>
  </si>
  <si>
    <t>Media Card Size</t>
  </si>
  <si>
    <t>IMEI</t>
  </si>
  <si>
    <t>324956384723948</t>
  </si>
  <si>
    <t>ICCID</t>
  </si>
  <si>
    <t>83749359203748913042</t>
  </si>
  <si>
    <t>Blackberry PIN</t>
  </si>
  <si>
    <t>2AFKLD3S</t>
  </si>
  <si>
    <t>Blackberry ID</t>
  </si>
  <si>
    <t>CustodianName@Client.com</t>
  </si>
  <si>
    <t>Blackberry ID PW</t>
  </si>
  <si>
    <t>Device PW</t>
  </si>
  <si>
    <t>Business PW</t>
  </si>
  <si>
    <t>Decryption Key File</t>
  </si>
  <si>
    <t>SIM-PIN</t>
  </si>
  <si>
    <t>1234</t>
  </si>
  <si>
    <t>24/5/2016 14:00</t>
  </si>
  <si>
    <t>24/5/2016 14:01</t>
  </si>
  <si>
    <t>24/5/2016 14:02</t>
  </si>
  <si>
    <t>24/5/2016 14:03</t>
  </si>
  <si>
    <t>24/5/2016 14:04</t>
  </si>
  <si>
    <t>24/5/2016 14:05</t>
  </si>
  <si>
    <t>24/5/2016 14:06</t>
  </si>
  <si>
    <t>24/5/2016 14:07</t>
  </si>
  <si>
    <t>24/5/2016 14:08</t>
  </si>
  <si>
    <t>Media Card Present?</t>
  </si>
  <si>
    <t>Yes/No</t>
  </si>
  <si>
    <t>SIM Card Present?</t>
  </si>
  <si>
    <t>Device Physical Serial Number</t>
  </si>
  <si>
    <t>Device Logical Serial Number</t>
  </si>
  <si>
    <t>S123456791</t>
  </si>
  <si>
    <t>Custodian Name</t>
  </si>
  <si>
    <t>ComputerName1</t>
  </si>
  <si>
    <t>Device/Machine Name</t>
  </si>
  <si>
    <t>Usershare</t>
  </si>
  <si>
    <t>Collected Path</t>
  </si>
  <si>
    <t>Requested Path</t>
  </si>
  <si>
    <t>Source Path</t>
  </si>
  <si>
    <t>\\NETWORK</t>
  </si>
  <si>
    <t>\\RESTORED FROM</t>
  </si>
  <si>
    <t>\\STAGING AREA</t>
  </si>
  <si>
    <t>Network Imaging Notes Template</t>
  </si>
  <si>
    <t>15/2/2017 15:30:27</t>
  </si>
  <si>
    <t>HDD Logical Serial Number</t>
  </si>
  <si>
    <t>Device Encryption:</t>
  </si>
  <si>
    <t>Key Check:</t>
  </si>
  <si>
    <t>12354896365 OR Volume and Password ID</t>
  </si>
  <si>
    <t>Compression</t>
  </si>
  <si>
    <t>Date &amp; Time</t>
  </si>
  <si>
    <t>First Name, Last Name</t>
  </si>
  <si>
    <t>Storage - 2,5" Drive</t>
  </si>
  <si>
    <t>Storage - 3,5" Drive</t>
  </si>
  <si>
    <t>Storage - M.2 Drive</t>
  </si>
  <si>
    <t>Storage - External Drive</t>
  </si>
  <si>
    <t>Storage - NAS</t>
  </si>
  <si>
    <t>Removable Media - CD</t>
  </si>
  <si>
    <t>Removable Media - DVD</t>
  </si>
  <si>
    <t>Removable Media - Floppy Disk</t>
  </si>
  <si>
    <t>Removable Media - Media Card</t>
  </si>
  <si>
    <t>Removable Media - USB Thumbdrive</t>
  </si>
  <si>
    <t>Removable Media - Tape</t>
  </si>
  <si>
    <t>Removable Media - Other</t>
  </si>
  <si>
    <t>Computer - Desktop</t>
  </si>
  <si>
    <t>Computer - Laptop</t>
  </si>
  <si>
    <t>Computer - Tablet</t>
  </si>
  <si>
    <t>Mobile Device</t>
  </si>
  <si>
    <t>Other</t>
  </si>
  <si>
    <t>HDD Size Type</t>
  </si>
  <si>
    <t>GB</t>
  </si>
  <si>
    <t>Sizze Type</t>
  </si>
  <si>
    <t>KB</t>
  </si>
  <si>
    <t>MB</t>
  </si>
  <si>
    <t>TB</t>
  </si>
  <si>
    <t>Encryption</t>
  </si>
  <si>
    <t>None</t>
  </si>
  <si>
    <t>McAfee Safeboot</t>
  </si>
  <si>
    <t>McAfee Endpoint</t>
  </si>
  <si>
    <t>Bitlocker</t>
  </si>
  <si>
    <t>VeraCrypt</t>
  </si>
  <si>
    <t>TrueCrypt</t>
  </si>
  <si>
    <t>DiskCryptor</t>
  </si>
  <si>
    <t>Hardware</t>
  </si>
  <si>
    <t>Mobile Imaging Notes Template</t>
  </si>
  <si>
    <t>Size Type</t>
  </si>
  <si>
    <t>Device Size</t>
  </si>
  <si>
    <t>Project Test</t>
  </si>
  <si>
    <t>VeraCrypt Bitlocker, Other, None</t>
  </si>
  <si>
    <t>Logical Device - E-Mail Data</t>
  </si>
  <si>
    <t>Logical Device - Network Data</t>
  </si>
  <si>
    <t>Logical Device - Other</t>
  </si>
  <si>
    <t>Storage - Other</t>
  </si>
  <si>
    <t>FTK Automater</t>
  </si>
  <si>
    <t>Collection Type</t>
  </si>
  <si>
    <t>FTK Evidence Number</t>
  </si>
  <si>
    <t>Examiner</t>
  </si>
  <si>
    <t>Destination Folder</t>
  </si>
  <si>
    <t>File Name</t>
  </si>
  <si>
    <t>targeted</t>
  </si>
  <si>
    <t>DFT-000001</t>
  </si>
  <si>
    <t>Christiaan Mastop</t>
  </si>
  <si>
    <t>D:\DFT-000001</t>
  </si>
  <si>
    <t>Source of text file that contains directories to be imaged</t>
  </si>
  <si>
    <t>physical</t>
  </si>
  <si>
    <t>logical</t>
  </si>
  <si>
    <t>Segment Size</t>
  </si>
  <si>
    <t>1024</t>
  </si>
  <si>
    <t>1-9</t>
  </si>
  <si>
    <r>
      <t>D:\ProjectFile.txt (</t>
    </r>
    <r>
      <rPr>
        <sz val="10.5"/>
        <color rgb="FFFF0000"/>
        <rFont val="Calibri"/>
        <family val="2"/>
        <scheme val="minor"/>
      </rPr>
      <t>targeted images only</t>
    </r>
    <r>
      <rPr>
        <sz val="10.5"/>
        <color theme="1"/>
        <rFont val="Calibri"/>
        <family val="2"/>
        <scheme val="minor"/>
      </rPr>
      <t>)</t>
    </r>
  </si>
  <si>
    <t>0-9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</si>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</sst>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indexed="10"/>
      <name val="Calibri"/>
      <family val="2"/>
    </font>
    <font>
      <sz val="8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theme="0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10"/>
      <color rgb="FF002060"/>
      <name val="Calibri"/>
      <family val="2"/>
    </font>
    <font>
      <sz val="10"/>
      <color rgb="FF002060"/>
      <name val="Calibri"/>
      <family val="2"/>
    </font>
    <font>
      <b/>
      <sz val="10"/>
      <color rgb="FF002060"/>
      <name val="Calibri"/>
      <family val="2"/>
      <scheme val="minor"/>
    </font>
    <font>
      <sz val="10"/>
      <color rgb="FF002060"/>
      <name val="Calibri"/>
      <family val="2"/>
      <scheme val="minor"/>
    </font>
    <font>
      <sz val="10.5"/>
      <name val="Calibri"/>
      <family val="2"/>
      <scheme val="minor"/>
    </font>
    <font>
      <sz val="10.5"/>
      <color theme="0"/>
      <name val="Calibri"/>
      <family val="2"/>
      <scheme val="minor"/>
    </font>
    <font>
      <sz val="9"/>
      <color indexed="81"/>
      <name val="Tahoma"/>
      <family val="2"/>
    </font>
    <font>
      <sz val="10.5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85BC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4" tint="0.3999755851924192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thin">
        <color theme="4" tint="0.39997558519241921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</borders>
  <cellStyleXfs count="4">
    <xf numFmtId="0" fontId="0" fillId="0" borderId="0"/>
    <xf numFmtId="0" fontId="4" fillId="0" borderId="0"/>
    <xf numFmtId="0" fontId="5" fillId="0" borderId="0"/>
    <xf numFmtId="0" fontId="5" fillId="0" borderId="0"/>
  </cellStyleXfs>
  <cellXfs count="42">
    <xf numFmtId="0" fontId="0" fillId="0" borderId="0" xfId="0"/>
    <xf numFmtId="0" fontId="0" fillId="3" borderId="0" xfId="0" applyFill="1"/>
    <xf numFmtId="0" fontId="1" fillId="3" borderId="0" xfId="0" applyFont="1" applyFill="1"/>
    <xf numFmtId="0" fontId="0" fillId="3" borderId="0" xfId="0" applyFill="1" applyAlignment="1">
      <alignment wrapText="1"/>
    </xf>
    <xf numFmtId="1" fontId="6" fillId="4" borderId="6" xfId="1" applyNumberFormat="1" applyFont="1" applyFill="1" applyBorder="1"/>
    <xf numFmtId="1" fontId="7" fillId="5" borderId="7" xfId="2" applyNumberFormat="1" applyFont="1" applyFill="1" applyBorder="1" applyAlignment="1">
      <alignment horizontal="left" vertical="center"/>
    </xf>
    <xf numFmtId="1" fontId="7" fillId="4" borderId="11" xfId="1" applyNumberFormat="1" applyFont="1" applyFill="1" applyBorder="1"/>
    <xf numFmtId="1" fontId="6" fillId="4" borderId="11" xfId="1" applyNumberFormat="1" applyFont="1" applyFill="1" applyBorder="1"/>
    <xf numFmtId="49" fontId="8" fillId="6" borderId="9" xfId="0" applyNumberFormat="1" applyFont="1" applyFill="1" applyBorder="1" applyAlignment="1" applyProtection="1">
      <alignment horizontal="left" wrapText="1"/>
      <protection locked="0"/>
    </xf>
    <xf numFmtId="49" fontId="8" fillId="6" borderId="10" xfId="0" applyNumberFormat="1" applyFont="1" applyFill="1" applyBorder="1" applyAlignment="1" applyProtection="1">
      <alignment horizontal="left" wrapText="1"/>
      <protection locked="0"/>
    </xf>
    <xf numFmtId="49" fontId="8" fillId="6" borderId="12" xfId="0" applyNumberFormat="1" applyFont="1" applyFill="1" applyBorder="1" applyAlignment="1" applyProtection="1">
      <alignment horizontal="left" wrapText="1"/>
      <protection locked="0"/>
    </xf>
    <xf numFmtId="49" fontId="10" fillId="6" borderId="12" xfId="0" applyNumberFormat="1" applyFont="1" applyFill="1" applyBorder="1" applyAlignment="1" applyProtection="1">
      <alignment horizontal="left" wrapText="1"/>
      <protection locked="0"/>
    </xf>
    <xf numFmtId="49" fontId="10" fillId="6" borderId="10" xfId="0" applyNumberFormat="1" applyFont="1" applyFill="1" applyBorder="1" applyAlignment="1" applyProtection="1">
      <alignment horizontal="left" wrapText="1"/>
      <protection locked="0"/>
    </xf>
    <xf numFmtId="0" fontId="12" fillId="2" borderId="3" xfId="0" applyFont="1" applyFill="1" applyBorder="1" applyAlignment="1" applyProtection="1">
      <alignment horizontal="left" vertical="top" wrapText="1"/>
    </xf>
    <xf numFmtId="0" fontId="4" fillId="0" borderId="0" xfId="1"/>
    <xf numFmtId="0" fontId="13" fillId="0" borderId="13" xfId="0" applyFont="1" applyBorder="1" applyAlignment="1"/>
    <xf numFmtId="0" fontId="14" fillId="0" borderId="5" xfId="0" applyFont="1" applyBorder="1" applyAlignment="1"/>
    <xf numFmtId="0" fontId="14" fillId="0" borderId="5" xfId="0" applyFont="1" applyFill="1" applyBorder="1" applyAlignment="1"/>
    <xf numFmtId="0" fontId="14" fillId="0" borderId="2" xfId="1" applyFont="1" applyFill="1" applyBorder="1" applyAlignment="1"/>
    <xf numFmtId="0" fontId="14" fillId="0" borderId="5" xfId="1" applyFont="1" applyFill="1" applyBorder="1" applyAlignment="1"/>
    <xf numFmtId="0" fontId="14" fillId="0" borderId="14" xfId="1" applyFont="1" applyFill="1" applyBorder="1" applyAlignment="1"/>
    <xf numFmtId="0" fontId="15" fillId="0" borderId="15" xfId="1" applyFont="1" applyBorder="1"/>
    <xf numFmtId="0" fontId="16" fillId="0" borderId="16" xfId="1" applyFont="1" applyBorder="1"/>
    <xf numFmtId="0" fontId="16" fillId="0" borderId="16" xfId="1" applyFont="1" applyFill="1" applyBorder="1"/>
    <xf numFmtId="49" fontId="12" fillId="6" borderId="12" xfId="0" applyNumberFormat="1" applyFont="1" applyFill="1" applyBorder="1" applyAlignment="1" applyProtection="1">
      <alignment horizontal="left" wrapText="1"/>
      <protection locked="0"/>
    </xf>
    <xf numFmtId="49" fontId="12" fillId="6" borderId="10" xfId="0" applyNumberFormat="1" applyFont="1" applyFill="1" applyBorder="1" applyAlignment="1" applyProtection="1">
      <alignment horizontal="left" wrapText="1"/>
      <protection locked="0"/>
    </xf>
    <xf numFmtId="49" fontId="12" fillId="6" borderId="9" xfId="0" applyNumberFormat="1" applyFont="1" applyFill="1" applyBorder="1" applyAlignment="1" applyProtection="1">
      <alignment horizontal="left" wrapText="1"/>
      <protection locked="0"/>
    </xf>
    <xf numFmtId="49" fontId="9" fillId="6" borderId="1" xfId="0" applyNumberFormat="1" applyFont="1" applyFill="1" applyBorder="1" applyAlignment="1" applyProtection="1">
      <alignment horizontal="left" wrapText="1"/>
      <protection locked="0"/>
    </xf>
    <xf numFmtId="1" fontId="17" fillId="4" borderId="1" xfId="1" applyNumberFormat="1" applyFont="1" applyFill="1" applyBorder="1" applyAlignment="1">
      <alignment vertical="top" wrapText="1"/>
    </xf>
    <xf numFmtId="49" fontId="10" fillId="6" borderId="1" xfId="0" applyNumberFormat="1" applyFont="1" applyFill="1" applyBorder="1" applyAlignment="1" applyProtection="1">
      <alignment horizontal="left" vertical="center" wrapText="1"/>
      <protection locked="0"/>
    </xf>
    <xf numFmtId="49" fontId="10" fillId="6" borderId="4" xfId="0" applyNumberFormat="1" applyFont="1" applyFill="1" applyBorder="1" applyAlignment="1" applyProtection="1">
      <alignment horizontal="left" wrapText="1"/>
      <protection locked="0"/>
    </xf>
    <xf numFmtId="49" fontId="12" fillId="6" borderId="17" xfId="0" applyNumberFormat="1" applyFont="1" applyFill="1" applyBorder="1" applyAlignment="1" applyProtection="1">
      <alignment horizontal="left" wrapText="1"/>
      <protection locked="0"/>
    </xf>
    <xf numFmtId="0" fontId="8" fillId="6" borderId="9" xfId="0" applyNumberFormat="1" applyFont="1" applyFill="1" applyBorder="1" applyAlignment="1" applyProtection="1">
      <alignment horizontal="left" wrapText="1"/>
      <protection locked="0"/>
    </xf>
    <xf numFmtId="0" fontId="12" fillId="6" borderId="9" xfId="0" applyNumberFormat="1" applyFont="1" applyFill="1" applyBorder="1" applyAlignment="1" applyProtection="1">
      <alignment horizontal="left" wrapText="1"/>
      <protection locked="0"/>
    </xf>
    <xf numFmtId="49" fontId="10" fillId="6" borderId="10" xfId="0" applyNumberFormat="1" applyFont="1" applyFill="1" applyBorder="1" applyAlignment="1" applyProtection="1">
      <alignment horizontal="left" vertical="center" wrapText="1"/>
      <protection locked="0"/>
    </xf>
    <xf numFmtId="1" fontId="7" fillId="5" borderId="8" xfId="2" applyNumberFormat="1" applyFont="1" applyFill="1" applyBorder="1" applyAlignment="1">
      <alignment horizontal="left" vertical="center"/>
    </xf>
    <xf numFmtId="1" fontId="11" fillId="5" borderId="19" xfId="2" applyNumberFormat="1" applyFont="1" applyFill="1" applyBorder="1" applyAlignment="1">
      <alignment horizontal="left" vertical="center"/>
    </xf>
    <xf numFmtId="1" fontId="7" fillId="5" borderId="18" xfId="2" applyNumberFormat="1" applyFont="1" applyFill="1" applyBorder="1" applyAlignment="1">
      <alignment horizontal="left" vertical="center"/>
    </xf>
    <xf numFmtId="49" fontId="9" fillId="6" borderId="1" xfId="0" applyNumberFormat="1" applyFont="1" applyFill="1" applyBorder="1" applyAlignment="1" applyProtection="1">
      <alignment horizontal="left" vertical="center" wrapText="1"/>
      <protection locked="0"/>
    </xf>
    <xf numFmtId="1" fontId="18" fillId="5" borderId="1" xfId="1" applyNumberFormat="1" applyFont="1" applyFill="1" applyBorder="1" applyAlignment="1">
      <alignment vertical="top" wrapText="1"/>
    </xf>
    <xf numFmtId="1" fontId="12" fillId="6" borderId="4" xfId="0" applyNumberFormat="1" applyFont="1" applyFill="1" applyBorder="1" applyAlignment="1" applyProtection="1">
      <alignment horizontal="left" wrapText="1"/>
      <protection locked="0"/>
    </xf>
    <xf numFmtId="0" fontId="14" fillId="0" borderId="13" xfId="0" applyFont="1" applyBorder="1" applyAlignment="1"/>
  </cellXfs>
  <cellStyles count="4">
    <cellStyle name="Normal" xfId="0" builtinId="0"/>
    <cellStyle name="Normal 2" xfId="1" xr:uid="{00000000-0005-0000-0000-000001000000}"/>
    <cellStyle name="Normal 28" xfId="3" xr:uid="{2F20FAB0-0C8F-4F71-B275-7C52AE5BFA79}"/>
    <cellStyle name="Normal 3 10" xfId="2" xr:uid="{68A5DD81-455C-4550-A3C2-4E84A10BD8E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NETWORK" TargetMode="Externa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92D050"/>
    <pageSetUpPr fitToPage="1"/>
  </sheetPr>
  <dimension ref="A1:D39"/>
  <sheetViews>
    <sheetView showGridLines="0" tabSelected="1" zoomScale="85" zoomScaleNormal="85" zoomScaleSheetLayoutView="100" workbookViewId="0">
      <selection activeCell="C19" sqref="C19"/>
    </sheetView>
  </sheetViews>
  <sheetFormatPr defaultColWidth="9.28515625" defaultRowHeight="15" x14ac:dyDescent="0.25"/>
  <cols>
    <col min="1" max="1" width="38.28515625" style="1" bestFit="1" customWidth="1"/>
    <col min="2" max="2" width="39.7109375" style="1" bestFit="1" customWidth="1"/>
    <col min="3" max="3" width="81.5703125" style="3" customWidth="1"/>
    <col min="4" max="4" width="68.42578125" style="1" customWidth="1"/>
    <col min="5" max="16384" width="9.28515625" style="1"/>
  </cols>
  <sheetData>
    <row r="1" spans="1:3" ht="15.75" thickBot="1" x14ac:dyDescent="0.3">
      <c r="A1" s="7" t="s">
        <v>6</v>
      </c>
      <c r="B1" s="6"/>
      <c r="C1" s="4"/>
    </row>
    <row r="2" spans="1:3" x14ac:dyDescent="0.25">
      <c r="A2" s="5"/>
      <c r="B2" s="36" t="s">
        <v>20</v>
      </c>
      <c r="C2" s="5"/>
    </row>
    <row r="3" spans="1:3" ht="17.25" customHeight="1" x14ac:dyDescent="0.25">
      <c r="A3" s="11" t="s">
        <v>3</v>
      </c>
      <c r="B3" s="24" t="s">
        <v>124</v>
      </c>
      <c r="C3" s="8"/>
    </row>
    <row r="4" spans="1:3" ht="17.25" customHeight="1" thickBot="1" x14ac:dyDescent="0.3">
      <c r="A4" s="12" t="s">
        <v>70</v>
      </c>
      <c r="B4" s="25" t="s">
        <v>88</v>
      </c>
      <c r="C4" s="9"/>
    </row>
    <row r="5" spans="1:3" ht="17.25" customHeight="1" x14ac:dyDescent="0.25">
      <c r="A5" s="11" t="s">
        <v>7</v>
      </c>
      <c r="B5" s="24" t="s">
        <v>102</v>
      </c>
      <c r="C5" s="10"/>
    </row>
    <row r="6" spans="1:3" ht="17.25" customHeight="1" x14ac:dyDescent="0.25">
      <c r="A6" s="11" t="s">
        <v>9</v>
      </c>
      <c r="B6" s="26" t="s">
        <v>14</v>
      </c>
      <c r="C6" s="8"/>
    </row>
    <row r="7" spans="1:3" ht="17.25" customHeight="1" x14ac:dyDescent="0.25">
      <c r="A7" s="11" t="s">
        <v>10</v>
      </c>
      <c r="B7" s="26" t="s">
        <v>15</v>
      </c>
      <c r="C7" s="8"/>
    </row>
    <row r="8" spans="1:3" ht="17.25" customHeight="1" x14ac:dyDescent="0.25">
      <c r="A8" s="11" t="s">
        <v>67</v>
      </c>
      <c r="B8" s="26" t="s">
        <v>16</v>
      </c>
      <c r="C8" s="8"/>
    </row>
    <row r="9" spans="1:3" ht="17.25" customHeight="1" x14ac:dyDescent="0.25">
      <c r="A9" s="11" t="s">
        <v>72</v>
      </c>
      <c r="B9" s="26" t="s">
        <v>71</v>
      </c>
      <c r="C9" s="8"/>
    </row>
    <row r="10" spans="1:3" ht="17.25" customHeight="1" thickBot="1" x14ac:dyDescent="0.3">
      <c r="A10" s="12" t="s">
        <v>11</v>
      </c>
      <c r="B10" s="25" t="s">
        <v>17</v>
      </c>
      <c r="C10" s="9"/>
    </row>
    <row r="11" spans="1:3" ht="17.25" customHeight="1" x14ac:dyDescent="0.25">
      <c r="A11" s="11" t="s">
        <v>0</v>
      </c>
      <c r="B11" s="24" t="s">
        <v>12</v>
      </c>
      <c r="C11" s="10"/>
    </row>
    <row r="12" spans="1:3" ht="17.25" customHeight="1" x14ac:dyDescent="0.25">
      <c r="A12" s="11" t="s">
        <v>21</v>
      </c>
      <c r="B12" s="26" t="s">
        <v>13</v>
      </c>
      <c r="C12" s="8"/>
    </row>
    <row r="13" spans="1:3" ht="17.25" customHeight="1" x14ac:dyDescent="0.25">
      <c r="A13" s="11" t="s">
        <v>5</v>
      </c>
      <c r="B13" s="26" t="s">
        <v>18</v>
      </c>
      <c r="C13" s="8"/>
    </row>
    <row r="14" spans="1:3" ht="17.25" customHeight="1" x14ac:dyDescent="0.25">
      <c r="A14" s="11" t="s">
        <v>1</v>
      </c>
      <c r="B14" s="33">
        <v>500</v>
      </c>
      <c r="C14" s="32"/>
    </row>
    <row r="15" spans="1:3" ht="17.25" hidden="1" customHeight="1" x14ac:dyDescent="0.25">
      <c r="A15" s="11" t="s">
        <v>82</v>
      </c>
      <c r="B15" s="26" t="s">
        <v>69</v>
      </c>
      <c r="C15" s="8"/>
    </row>
    <row r="16" spans="1:3" ht="17.25" customHeight="1" thickBot="1" x14ac:dyDescent="0.3">
      <c r="A16" s="12" t="s">
        <v>106</v>
      </c>
      <c r="B16" s="25" t="s">
        <v>107</v>
      </c>
      <c r="C16" s="9"/>
    </row>
    <row r="17" spans="1:4" ht="17.25" customHeight="1" x14ac:dyDescent="0.25">
      <c r="A17" s="11" t="s">
        <v>86</v>
      </c>
      <c r="B17" s="24" t="s">
        <v>147</v>
      </c>
      <c r="C17" s="32">
        <v>6</v>
      </c>
    </row>
    <row r="18" spans="1:4" ht="17.25" customHeight="1" x14ac:dyDescent="0.25">
      <c r="A18" s="11" t="s">
        <v>83</v>
      </c>
      <c r="B18" s="26" t="s">
        <v>125</v>
      </c>
      <c r="C18" s="8"/>
    </row>
    <row r="19" spans="1:4" x14ac:dyDescent="0.25">
      <c r="A19" s="11" t="s">
        <v>84</v>
      </c>
      <c r="B19" s="26" t="s">
        <v>85</v>
      </c>
      <c r="C19" s="8"/>
    </row>
    <row r="20" spans="1:4" x14ac:dyDescent="0.25">
      <c r="A20" s="11" t="s">
        <v>66</v>
      </c>
      <c r="B20" s="26" t="s">
        <v>65</v>
      </c>
      <c r="C20" s="8" t="s">
        <v>148</v>
      </c>
    </row>
    <row r="21" spans="1:4" x14ac:dyDescent="0.25">
      <c r="A21" s="11" t="s">
        <v>41</v>
      </c>
      <c r="B21" s="40" t="s">
        <v>42</v>
      </c>
      <c r="C21" s="8"/>
    </row>
    <row r="22" spans="1:4" x14ac:dyDescent="0.25">
      <c r="A22" s="11" t="s">
        <v>43</v>
      </c>
      <c r="B22" s="26" t="s">
        <v>44</v>
      </c>
      <c r="C22" s="8"/>
    </row>
    <row r="23" spans="1:4" x14ac:dyDescent="0.25">
      <c r="A23" s="11" t="s">
        <v>53</v>
      </c>
      <c r="B23" s="26" t="s">
        <v>54</v>
      </c>
      <c r="C23" s="8"/>
      <c r="D23" s="2"/>
    </row>
    <row r="24" spans="1:4" hidden="1" x14ac:dyDescent="0.25">
      <c r="A24" s="11" t="s">
        <v>28</v>
      </c>
      <c r="B24" s="26" t="s">
        <v>60</v>
      </c>
      <c r="C24" s="8"/>
      <c r="D24" s="2"/>
    </row>
    <row r="25" spans="1:4" hidden="1" x14ac:dyDescent="0.25">
      <c r="A25" s="11" t="s">
        <v>27</v>
      </c>
      <c r="B25" s="26" t="s">
        <v>61</v>
      </c>
      <c r="C25" s="8"/>
      <c r="D25" s="2"/>
    </row>
    <row r="26" spans="1:4" hidden="1" x14ac:dyDescent="0.25">
      <c r="A26" s="11" t="s">
        <v>29</v>
      </c>
      <c r="B26" s="26" t="s">
        <v>62</v>
      </c>
      <c r="C26" s="8"/>
      <c r="D26" s="2"/>
    </row>
    <row r="27" spans="1:4" hidden="1" x14ac:dyDescent="0.25">
      <c r="A27" s="11" t="s">
        <v>30</v>
      </c>
      <c r="B27" s="26" t="s">
        <v>63</v>
      </c>
      <c r="C27" s="8"/>
      <c r="D27" s="2"/>
    </row>
    <row r="28" spans="1:4" ht="15.75" thickBot="1" x14ac:dyDescent="0.3">
      <c r="A28" s="12" t="s">
        <v>4</v>
      </c>
      <c r="B28" s="25" t="s">
        <v>19</v>
      </c>
      <c r="C28" s="9"/>
    </row>
    <row r="29" spans="1:4" ht="120.75" hidden="1" customHeight="1" thickBot="1" x14ac:dyDescent="0.3">
      <c r="A29" s="29" t="s">
        <v>2</v>
      </c>
      <c r="B29" s="27"/>
      <c r="C29" s="28" t="str">
        <f>IF(C3="","","Project Name: "&amp;C3&amp;"; ")&amp;IF(C4="","","Custodian: "&amp;C4&amp;"; ")&amp;IF(C5="","","Device Type: "&amp;C5&amp;"; ")&amp;IF(C6="","","Device Manufacturer: "&amp;C6&amp;"; ")&amp;IF(C7="","","Device Model: "&amp;C7&amp;"; ")&amp;IF(C8="","","Device Physical Serial Number: "&amp;C8&amp;"; ")&amp;IF(C9="","","Device/Machine Name: "&amp;C9&amp;"; ")&amp;IF(C10="","","Device Asset Tag: "&amp;C10&amp;"; ")&amp;IF(C11="","","HDD Manufacturer: "&amp;C11&amp;"; ")&amp;IF(C12="","","HDD Model Number: "&amp;C12&amp;"; ")&amp;IF(C13="","","HDD Serial Number: "&amp;C13&amp;"; ")&amp;IF(C14="","","HDD Size: "&amp;C14&amp;"; ")&amp;IF(C15="","","HDD Logical Serial Number: "&amp;C15&amp;"; ")&amp;IF(C16="","","HDD Size Type: "&amp;C16&amp;"; ")&amp;IF(C17="","","Compression: "&amp;C17&amp;"; ")&amp;IF(C18="","","Encryption: "&amp;C18&amp;"; ")&amp;IF(C19="","","Key Check: "&amp;C19&amp;"; ")&amp;IF(C20="","","Sim Present: "&amp;C20&amp;"; ")&amp;IF(C21="","","IMEI: "&amp;C21&amp;"; ")&amp;IF(C22="","","ICCID: "&amp;C22&amp;"; ")&amp;IF(C23="","","SIM-PIN: "&amp;C23&amp;"; ")&amp;IF(C24="","","USIM Logical Started: "&amp;C24&amp;"; ")&amp;IF(C25="","","SIM Logical Started: "&amp;C25&amp;"; ")&amp;IF(C26="","","USIM FileSystem Started: "&amp;C26&amp;"; ")&amp;IF(C27="","","SIM FileSystem Started: "&amp;C27&amp;"; ")&amp;IF(C28="","","Other Notes: "&amp;C28&amp;"; ")</f>
        <v xml:space="preserve">Compression: 6; Sim Present: 1; </v>
      </c>
      <c r="D29" s="3"/>
    </row>
    <row r="30" spans="1:4" ht="120.75" customHeight="1" thickBot="1" x14ac:dyDescent="0.3">
      <c r="A30" s="29" t="s">
        <v>2</v>
      </c>
      <c r="B30" s="27"/>
      <c r="C30" s="28" t="str">
        <f>SUBSTITUTE(C29,CHAR(34)," ")</f>
        <v xml:space="preserve">Compression: 6; Sim Present: 1; </v>
      </c>
      <c r="D30" s="3"/>
    </row>
    <row r="31" spans="1:4" ht="28.5" x14ac:dyDescent="0.25">
      <c r="A31" s="11" t="s">
        <v>140</v>
      </c>
      <c r="B31" s="24" t="s">
        <v>146</v>
      </c>
      <c r="C31" s="10"/>
    </row>
    <row r="32" spans="1:4" x14ac:dyDescent="0.25">
      <c r="A32" s="11" t="s">
        <v>131</v>
      </c>
      <c r="B32" s="26" t="s">
        <v>136</v>
      </c>
      <c r="C32" s="8"/>
    </row>
    <row r="33" spans="1:4" x14ac:dyDescent="0.25">
      <c r="A33" s="11" t="s">
        <v>132</v>
      </c>
      <c r="B33" s="26" t="s">
        <v>137</v>
      </c>
      <c r="C33" s="8"/>
    </row>
    <row r="34" spans="1:4" x14ac:dyDescent="0.25">
      <c r="A34" s="11" t="s">
        <v>133</v>
      </c>
      <c r="B34" s="24" t="s">
        <v>138</v>
      </c>
      <c r="C34" s="8"/>
    </row>
    <row r="35" spans="1:4" x14ac:dyDescent="0.25">
      <c r="A35" s="11" t="s">
        <v>134</v>
      </c>
      <c r="B35" s="26" t="s">
        <v>139</v>
      </c>
      <c r="C35" s="8"/>
    </row>
    <row r="36" spans="1:4" x14ac:dyDescent="0.25">
      <c r="A36" s="11" t="s">
        <v>135</v>
      </c>
      <c r="B36" s="26" t="s">
        <v>137</v>
      </c>
      <c r="C36" s="8"/>
    </row>
    <row r="37" spans="1:4" x14ac:dyDescent="0.25">
      <c r="A37" s="30" t="s">
        <v>143</v>
      </c>
      <c r="B37" s="26">
        <v>1024</v>
      </c>
      <c r="C37" s="8" t="s">
        <v>144</v>
      </c>
    </row>
    <row r="38" spans="1:4" ht="15.75" thickBot="1" x14ac:dyDescent="0.3">
      <c r="A38" s="30" t="s">
        <v>86</v>
      </c>
      <c r="B38" s="26" t="s">
        <v>147</v>
      </c>
      <c r="C38" s="32">
        <v>6</v>
      </c>
    </row>
    <row r="39" spans="1:4" ht="150" customHeight="1" thickBot="1" x14ac:dyDescent="0.3">
      <c r="A39" s="29" t="s">
        <v>130</v>
      </c>
      <c r="B39" s="38"/>
      <c r="C39" s="39" t="str">
        <f>"FTKAutomater.exe "&amp;IF(C31&lt;&gt;""," -p "&amp;CHAR(34)&amp;C31&amp;CHAR(34)&amp;"","")&amp;IF(C32&lt;&gt;""," -t "&amp;CHAR(34)&amp;C32&amp;CHAR(34)&amp;"","")&amp;IF(C3&lt;&gt;""," -c "&amp;CHAR(34)&amp;C3&amp;CHAR(34)&amp;"","")&amp;IF(C33&lt;&gt;""," -ev "&amp;CHAR(34)&amp;C33&amp;CHAR(34)&amp;"","")&amp;IF(C34&lt;&gt;""," -e "&amp;CHAR(34)&amp;C34&amp;CHAR(34)&amp;"","")&amp;IF(C30&lt;&gt;""," -n "&amp;CHAR(34)&amp;C30&amp;CHAR(34)&amp;"","")&amp;IF(C35&lt;&gt;""," -d "&amp;CHAR(34)&amp;C35&amp;" "&amp;CHAR(34)&amp;"","")&amp;IF(C36&lt;&gt;""," -f "&amp;CHAR(34)&amp;C36&amp;CHAR(34)&amp;"","")&amp;IF(C37&lt;&gt;""," -s "&amp;CHAR(34)&amp;C37&amp;CHAR(34)&amp;"","")&amp;IF(C38&lt;&gt;""," -co "&amp;CHAR(34)&amp;C38&amp;CHAR(34)&amp;"","")</f>
        <v>FTKAutomater.exe  -n "Compression: 6; Sim Present: 1; " -s "1024" -co "6"</v>
      </c>
      <c r="D39" s="3"/>
    </row>
  </sheetData>
  <phoneticPr fontId="2" type="noConversion"/>
  <pageMargins left="0.7" right="0.7" top="0.75" bottom="0.75" header="0.3" footer="0.3"/>
  <pageSetup scale="71" fitToHeight="0" orientation="portrait" horizontalDpi="4294967293" verticalDpi="4294967293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75DDC4AE-ACDB-4419-8BDE-B9A1BCA4CC95}">
          <x14:formula1>
            <xm:f>List!$E$6:$E$9</xm:f>
          </x14:formula1>
          <xm:sqref>C16</xm:sqref>
        </x14:dataValidation>
        <x14:dataValidation type="list" allowBlank="1" showInputMessage="1" showErrorMessage="1" xr:uid="{A78A9063-7681-4F88-8712-D6446AA55042}">
          <x14:formula1>
            <xm:f>List!$F$6:$F$14</xm:f>
          </x14:formula1>
          <xm:sqref>C18</xm:sqref>
        </x14:dataValidation>
        <x14:dataValidation type="list" allowBlank="1" showInputMessage="1" showErrorMessage="1" xr:uid="{DCE425E3-489E-4A51-9598-4350AA4306E9}">
          <x14:formula1>
            <xm:f>List!$D$6:$D$26</xm:f>
          </x14:formula1>
          <xm:sqref>C5</xm:sqref>
        </x14:dataValidation>
        <x14:dataValidation type="list" allowBlank="1" showInputMessage="1" showErrorMessage="1" xr:uid="{7651B04F-FA18-4381-AE47-92AED1479557}">
          <x14:formula1>
            <xm:f>List!$G$6:$G$8</xm:f>
          </x14:formula1>
          <xm:sqref>C32</xm:sqref>
        </x14:dataValidation>
        <x14:dataValidation type="list" allowBlank="1" showInputMessage="1" showErrorMessage="1" xr:uid="{DD5B399F-D74D-4FF6-8F7F-8B6DEBA87783}">
          <x14:formula1>
            <xm:f>List!$H$6:$H$15</xm:f>
          </x14:formula1>
          <xm:sqref>C38 C17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49"/>
  <sheetViews>
    <sheetView showGridLines="0" zoomScale="90" zoomScaleNormal="90" workbookViewId="0">
      <selection activeCell="B40" sqref="B40"/>
    </sheetView>
  </sheetViews>
  <sheetFormatPr defaultColWidth="9.28515625" defaultRowHeight="15" x14ac:dyDescent="0.25"/>
  <cols>
    <col min="1" max="1" width="40.28515625" style="1" customWidth="1"/>
    <col min="2" max="2" width="27.42578125" style="1" bestFit="1" customWidth="1"/>
    <col min="3" max="3" width="90.5703125" style="1" customWidth="1"/>
    <col min="4" max="4" width="16.5703125" style="1" bestFit="1" customWidth="1"/>
    <col min="5" max="16384" width="9.28515625" style="1"/>
  </cols>
  <sheetData>
    <row r="1" spans="1:3" ht="15.75" thickBot="1" x14ac:dyDescent="0.3">
      <c r="A1" s="7" t="s">
        <v>121</v>
      </c>
      <c r="B1" s="6"/>
      <c r="C1" s="4"/>
    </row>
    <row r="2" spans="1:3" x14ac:dyDescent="0.25">
      <c r="A2" s="5"/>
      <c r="B2" s="36" t="s">
        <v>20</v>
      </c>
      <c r="C2" s="5"/>
    </row>
    <row r="3" spans="1:3" x14ac:dyDescent="0.25">
      <c r="A3" s="11" t="s">
        <v>3</v>
      </c>
      <c r="B3" s="24" t="s">
        <v>124</v>
      </c>
      <c r="C3" s="8"/>
    </row>
    <row r="4" spans="1:3" ht="15.75" thickBot="1" x14ac:dyDescent="0.3">
      <c r="A4" s="12" t="s">
        <v>70</v>
      </c>
      <c r="B4" s="25" t="s">
        <v>88</v>
      </c>
      <c r="C4" s="9"/>
    </row>
    <row r="5" spans="1:3" x14ac:dyDescent="0.25">
      <c r="A5" s="11" t="s">
        <v>7</v>
      </c>
      <c r="B5" s="24" t="s">
        <v>104</v>
      </c>
      <c r="C5" s="10" t="s">
        <v>104</v>
      </c>
    </row>
    <row r="6" spans="1:3" x14ac:dyDescent="0.25">
      <c r="A6" s="11" t="s">
        <v>9</v>
      </c>
      <c r="B6" s="26" t="s">
        <v>31</v>
      </c>
      <c r="C6" s="8"/>
    </row>
    <row r="7" spans="1:3" x14ac:dyDescent="0.25">
      <c r="A7" s="11" t="s">
        <v>10</v>
      </c>
      <c r="B7" s="26" t="s">
        <v>32</v>
      </c>
      <c r="C7" s="8"/>
    </row>
    <row r="8" spans="1:3" x14ac:dyDescent="0.25">
      <c r="A8" s="11" t="s">
        <v>8</v>
      </c>
      <c r="B8" s="26" t="s">
        <v>33</v>
      </c>
      <c r="C8" s="8"/>
    </row>
    <row r="9" spans="1:3" x14ac:dyDescent="0.25">
      <c r="A9" s="11" t="s">
        <v>123</v>
      </c>
      <c r="B9" s="33">
        <v>64</v>
      </c>
      <c r="C9" s="32"/>
    </row>
    <row r="10" spans="1:3" x14ac:dyDescent="0.25">
      <c r="A10" s="30" t="s">
        <v>122</v>
      </c>
      <c r="B10" s="31" t="s">
        <v>107</v>
      </c>
      <c r="C10" s="32"/>
    </row>
    <row r="11" spans="1:3" ht="15.75" thickBot="1" x14ac:dyDescent="0.3">
      <c r="A11" s="12" t="s">
        <v>11</v>
      </c>
      <c r="B11" s="25" t="s">
        <v>17</v>
      </c>
      <c r="C11" s="9"/>
    </row>
    <row r="12" spans="1:3" x14ac:dyDescent="0.25">
      <c r="A12" s="11" t="s">
        <v>64</v>
      </c>
      <c r="B12" s="24" t="s">
        <v>65</v>
      </c>
      <c r="C12" s="10"/>
    </row>
    <row r="13" spans="1:3" x14ac:dyDescent="0.25">
      <c r="A13" s="11" t="s">
        <v>34</v>
      </c>
      <c r="B13" s="26" t="s">
        <v>35</v>
      </c>
      <c r="C13" s="8"/>
    </row>
    <row r="14" spans="1:3" x14ac:dyDescent="0.25">
      <c r="A14" s="11" t="s">
        <v>36</v>
      </c>
      <c r="B14" s="26" t="s">
        <v>37</v>
      </c>
      <c r="C14" s="8"/>
    </row>
    <row r="15" spans="1:3" x14ac:dyDescent="0.25">
      <c r="A15" s="11" t="s">
        <v>38</v>
      </c>
      <c r="B15" s="26" t="s">
        <v>39</v>
      </c>
      <c r="C15" s="8"/>
    </row>
    <row r="16" spans="1:3" x14ac:dyDescent="0.25">
      <c r="A16" s="11" t="s">
        <v>40</v>
      </c>
      <c r="B16" s="33">
        <v>32</v>
      </c>
      <c r="C16" s="32"/>
    </row>
    <row r="17" spans="1:4" ht="15.75" hidden="1" thickBot="1" x14ac:dyDescent="0.3">
      <c r="A17" s="12" t="s">
        <v>68</v>
      </c>
      <c r="B17" s="25" t="s">
        <v>39</v>
      </c>
      <c r="C17" s="9"/>
    </row>
    <row r="18" spans="1:4" ht="15.75" thickBot="1" x14ac:dyDescent="0.3">
      <c r="A18" s="12" t="s">
        <v>122</v>
      </c>
      <c r="B18" s="25" t="s">
        <v>107</v>
      </c>
      <c r="C18" s="9"/>
    </row>
    <row r="19" spans="1:4" x14ac:dyDescent="0.25">
      <c r="A19" s="11" t="s">
        <v>66</v>
      </c>
      <c r="B19" s="26" t="s">
        <v>65</v>
      </c>
      <c r="C19" s="8"/>
    </row>
    <row r="20" spans="1:4" x14ac:dyDescent="0.25">
      <c r="A20" s="11" t="s">
        <v>41</v>
      </c>
      <c r="B20" s="26" t="s">
        <v>42</v>
      </c>
      <c r="C20" s="8"/>
    </row>
    <row r="21" spans="1:4" x14ac:dyDescent="0.25">
      <c r="A21" s="11" t="s">
        <v>43</v>
      </c>
      <c r="B21" s="26" t="s">
        <v>44</v>
      </c>
      <c r="C21" s="8"/>
    </row>
    <row r="22" spans="1:4" ht="15.75" thickBot="1" x14ac:dyDescent="0.3">
      <c r="A22" s="12" t="s">
        <v>53</v>
      </c>
      <c r="B22" s="25" t="s">
        <v>54</v>
      </c>
      <c r="C22" s="9"/>
    </row>
    <row r="23" spans="1:4" x14ac:dyDescent="0.25">
      <c r="A23" s="11" t="s">
        <v>45</v>
      </c>
      <c r="B23" s="26" t="s">
        <v>46</v>
      </c>
      <c r="C23" s="8"/>
    </row>
    <row r="24" spans="1:4" x14ac:dyDescent="0.25">
      <c r="A24" s="11" t="s">
        <v>47</v>
      </c>
      <c r="B24" s="26" t="s">
        <v>48</v>
      </c>
      <c r="C24" s="8"/>
    </row>
    <row r="25" spans="1:4" x14ac:dyDescent="0.25">
      <c r="A25" s="11" t="s">
        <v>49</v>
      </c>
      <c r="B25" s="26" t="s">
        <v>19</v>
      </c>
      <c r="C25" s="8"/>
    </row>
    <row r="26" spans="1:4" x14ac:dyDescent="0.25">
      <c r="A26" s="11" t="s">
        <v>50</v>
      </c>
      <c r="B26" s="26" t="s">
        <v>19</v>
      </c>
      <c r="C26" s="8"/>
    </row>
    <row r="27" spans="1:4" x14ac:dyDescent="0.25">
      <c r="A27" s="11" t="s">
        <v>51</v>
      </c>
      <c r="B27" s="26" t="s">
        <v>19</v>
      </c>
      <c r="C27" s="8"/>
    </row>
    <row r="28" spans="1:4" x14ac:dyDescent="0.25">
      <c r="A28" s="11" t="s">
        <v>52</v>
      </c>
      <c r="B28" s="26" t="s">
        <v>19</v>
      </c>
      <c r="C28" s="8"/>
    </row>
    <row r="29" spans="1:4" x14ac:dyDescent="0.25">
      <c r="A29" s="11" t="s">
        <v>4</v>
      </c>
      <c r="B29" s="26" t="s">
        <v>19</v>
      </c>
      <c r="C29" s="8"/>
    </row>
    <row r="30" spans="1:4" x14ac:dyDescent="0.25">
      <c r="A30" s="11" t="s">
        <v>22</v>
      </c>
      <c r="B30" s="26" t="s">
        <v>55</v>
      </c>
      <c r="C30" s="8"/>
      <c r="D30" s="2"/>
    </row>
    <row r="31" spans="1:4" x14ac:dyDescent="0.25">
      <c r="A31" s="11" t="s">
        <v>23</v>
      </c>
      <c r="B31" s="26" t="s">
        <v>56</v>
      </c>
      <c r="C31" s="8"/>
      <c r="D31" s="2"/>
    </row>
    <row r="32" spans="1:4" x14ac:dyDescent="0.25">
      <c r="A32" s="11" t="s">
        <v>24</v>
      </c>
      <c r="B32" s="26" t="s">
        <v>57</v>
      </c>
      <c r="C32" s="8"/>
      <c r="D32" s="2"/>
    </row>
    <row r="33" spans="1:4" x14ac:dyDescent="0.25">
      <c r="A33" s="11" t="s">
        <v>25</v>
      </c>
      <c r="B33" s="26" t="s">
        <v>58</v>
      </c>
      <c r="C33" s="8"/>
      <c r="D33" s="2"/>
    </row>
    <row r="34" spans="1:4" x14ac:dyDescent="0.25">
      <c r="A34" s="11" t="s">
        <v>26</v>
      </c>
      <c r="B34" s="26" t="s">
        <v>59</v>
      </c>
      <c r="C34" s="8"/>
      <c r="D34" s="2"/>
    </row>
    <row r="35" spans="1:4" x14ac:dyDescent="0.25">
      <c r="A35" s="11" t="s">
        <v>28</v>
      </c>
      <c r="B35" s="26" t="s">
        <v>60</v>
      </c>
      <c r="C35" s="8"/>
      <c r="D35" s="2"/>
    </row>
    <row r="36" spans="1:4" x14ac:dyDescent="0.25">
      <c r="A36" s="11" t="s">
        <v>27</v>
      </c>
      <c r="B36" s="26" t="s">
        <v>61</v>
      </c>
      <c r="C36" s="8"/>
      <c r="D36" s="2"/>
    </row>
    <row r="37" spans="1:4" x14ac:dyDescent="0.25">
      <c r="A37" s="11" t="s">
        <v>29</v>
      </c>
      <c r="B37" s="26" t="s">
        <v>62</v>
      </c>
      <c r="C37" s="8"/>
      <c r="D37" s="2"/>
    </row>
    <row r="38" spans="1:4" ht="15.75" thickBot="1" x14ac:dyDescent="0.3">
      <c r="A38" s="12" t="s">
        <v>30</v>
      </c>
      <c r="B38" s="25" t="s">
        <v>63</v>
      </c>
      <c r="C38" s="9"/>
      <c r="D38" s="2"/>
    </row>
    <row r="39" spans="1:4" ht="196.5" hidden="1" customHeight="1" thickBot="1" x14ac:dyDescent="0.3">
      <c r="A39" s="34" t="s">
        <v>2</v>
      </c>
      <c r="B39" s="25"/>
      <c r="C39" s="13" t="str">
        <f>IF(C3="","","Project Name: "&amp;C3&amp;"; ")&amp;IF(C4="","","Custodian: "&amp;C4&amp;"; ")&amp;IF(C5="","", "Device Type: "&amp;C5&amp;"; ")&amp;IF(C6="","", "Device Manufacturer: "&amp;C6&amp;"; ")&amp;IF(C7="","", "Device Model Number: "&amp;C7&amp;"; ")&amp;IF(C8="","","Device Serial Number: "&amp;C8&amp;"; ")&amp;IF(C9="","","Device Size: "&amp;C9&amp;"; ")&amp;IF(C10="","","Size Type: "&amp;C10&amp;"; ")&amp;IF(C11="","","Device Asset Tag: "&amp;C11&amp;"; ")&amp;IF(C12="","","Media Card Present: "&amp;C12&amp;"; ")&amp;IF(C13="","","Media Card Manufacturer: "&amp;C13&amp;"; ")&amp;IF(C14="","","Media Card Model Number: "&amp;C14&amp;"; ")&amp;IF(C15="","","Media Card Physical Serial Number: "&amp;C15&amp;"; ")&amp;IF(C16="","","Media Card Size: "&amp;C16&amp;"; ")&amp;IF(C17="","","Media Card Logical Serial Number: "&amp;C17&amp;"; ")&amp;IF(C18="","","Size Type: "&amp;C18&amp;"; ")&amp;IF(C19="","","SIM Card Present: "&amp;C19&amp;"; ")&amp;IF(C20="","","IMEI: "&amp;C20&amp;"; ")&amp;IF(C21="","","ICCID: "&amp;C21&amp;"; ")&amp;IF(C22="","","SIM PIN: "&amp;C22&amp;"; ")&amp;IF(C23="","","Blackberry PIN: "&amp;C23&amp;"; ")&amp;IF(C24="","","Blackberry ID: "&amp;C24&amp;"; ")&amp;IF(C25="","","Blackberry ID PW: "&amp;C25&amp;"; ")&amp;IF(C26="","","Device PW: "&amp;C26&amp;"; ")&amp;IF(C27="","","Business PW: "&amp;C27&amp;"; ")&amp;IF(C28="","","Decryption Key File: "&amp;C28&amp;"; ")&amp;IF(C29="","","Other Notes: "&amp;C29&amp;"; ")&amp;IF(C30="","","Logical Started: "&amp;C30&amp;"; ")&amp;IF(C31="","","FileSystem Started: "&amp;C31&amp;"; ")&amp;IF(C32="","","Physical  Started: "&amp;C32&amp;"; ")&amp;IF(C33="","","Advanced Logical 1 Started: "&amp;C33&amp;"; ")&amp;IF(C34="","","Advanced Logical 2 Started: "&amp;C34&amp;"; ")&amp;IF(C35="","","USIM Logical Started: "&amp;C35&amp;"; ")&amp;IF(C36="","","SIM Logical Started: "&amp;C36&amp;"; ")&amp;IF(C37="","","USIM FileSystem Started: "&amp;C37&amp;"; ")&amp;IF(C38="","","SIM FileSystem Started: "&amp;C38&amp;"; ")</f>
        <v xml:space="preserve">Device Type: Mobile Device; </v>
      </c>
    </row>
    <row r="40" spans="1:4" ht="196.5" customHeight="1" thickBot="1" x14ac:dyDescent="0.3">
      <c r="A40" s="34" t="s">
        <v>2</v>
      </c>
      <c r="B40" s="25"/>
      <c r="C40" s="13" t="str">
        <f>SUBSTITUTE(C39,CHAR(34)," ")</f>
        <v xml:space="preserve">Device Type: Mobile Device; </v>
      </c>
    </row>
    <row r="41" spans="1:4" ht="28.5" x14ac:dyDescent="0.25">
      <c r="A41" s="11" t="s">
        <v>140</v>
      </c>
      <c r="B41" s="24" t="s">
        <v>146</v>
      </c>
      <c r="C41" s="10"/>
    </row>
    <row r="42" spans="1:4" x14ac:dyDescent="0.25">
      <c r="A42" s="11" t="s">
        <v>131</v>
      </c>
      <c r="B42" s="26" t="s">
        <v>136</v>
      </c>
      <c r="C42" s="8"/>
    </row>
    <row r="43" spans="1:4" x14ac:dyDescent="0.25">
      <c r="A43" s="11" t="s">
        <v>132</v>
      </c>
      <c r="B43" s="26" t="s">
        <v>137</v>
      </c>
      <c r="C43" s="8"/>
    </row>
    <row r="44" spans="1:4" x14ac:dyDescent="0.25">
      <c r="A44" s="11" t="s">
        <v>133</v>
      </c>
      <c r="B44" s="24" t="s">
        <v>138</v>
      </c>
      <c r="C44" s="8"/>
    </row>
    <row r="45" spans="1:4" x14ac:dyDescent="0.25">
      <c r="A45" s="11" t="s">
        <v>134</v>
      </c>
      <c r="B45" s="26" t="s">
        <v>139</v>
      </c>
      <c r="C45" s="8"/>
    </row>
    <row r="46" spans="1:4" x14ac:dyDescent="0.25">
      <c r="A46" s="11" t="s">
        <v>135</v>
      </c>
      <c r="B46" s="26" t="s">
        <v>137</v>
      </c>
      <c r="C46" s="8"/>
    </row>
    <row r="47" spans="1:4" x14ac:dyDescent="0.25">
      <c r="A47" s="30" t="s">
        <v>143</v>
      </c>
      <c r="B47" s="26">
        <v>1024</v>
      </c>
      <c r="C47" s="8" t="s">
        <v>144</v>
      </c>
    </row>
    <row r="48" spans="1:4" ht="15.75" thickBot="1" x14ac:dyDescent="0.3">
      <c r="A48" s="30" t="s">
        <v>86</v>
      </c>
      <c r="B48" s="26" t="s">
        <v>145</v>
      </c>
      <c r="C48" s="32">
        <v>6</v>
      </c>
    </row>
    <row r="49" spans="1:3" ht="214.5" customHeight="1" thickBot="1" x14ac:dyDescent="0.3">
      <c r="A49" s="29" t="s">
        <v>130</v>
      </c>
      <c r="B49" s="38"/>
      <c r="C49" s="39" t="str">
        <f>"FTKAutomater.exe "&amp;IF(C41&lt;&gt;""," -p "&amp;CHAR(34)&amp;C41&amp;CHAR(34)&amp;"","")&amp;IF(C42&lt;&gt;""," -t "&amp;CHAR(34)&amp;C42&amp;CHAR(34)&amp;"","")&amp;IF(C3&lt;&gt;""," -c "&amp;CHAR(34)&amp;C3&amp;CHAR(34)&amp;"","")&amp;IF(C43&lt;&gt;""," -ev "&amp;CHAR(34)&amp;C43&amp;CHAR(34)&amp;"","")&amp;IF(C44&lt;&gt;""," -e "&amp;CHAR(34)&amp;C44&amp;CHAR(34)&amp;"","")&amp;IF(C40&lt;&gt;""," -n "&amp;CHAR(34)&amp;C40&amp;CHAR(34)&amp;"","")&amp;IF(C45&lt;&gt;""," -d "&amp;CHAR(34)&amp;C45&amp;" "&amp;CHAR(34)&amp;"","")&amp;IF(C46&lt;&gt;""," -f "&amp;CHAR(34)&amp;C46&amp;CHAR(34)&amp;"","")&amp;IF(C47&lt;&gt;""," -s "&amp;CHAR(34)&amp;C47&amp;CHAR(34)&amp;"","")&amp;IF(C48&lt;&gt;""," -co "&amp;CHAR(34)&amp;C48&amp;CHAR(34)&amp;"","")</f>
        <v>FTKAutomater.exe  -n "Device Type: Mobile Device; " -s "1024" -co "6"</v>
      </c>
    </row>
  </sheetData>
  <pageMargins left="0.75" right="0.75" top="1" bottom="1" header="0.5" footer="0.5"/>
  <pageSetup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B6791BF-E75D-456E-B20C-F5F64B3BD68D}">
          <x14:formula1>
            <xm:f>List!$E$6:$E$9</xm:f>
          </x14:formula1>
          <xm:sqref>C18 C10</xm:sqref>
        </x14:dataValidation>
        <x14:dataValidation type="list" allowBlank="1" showInputMessage="1" showErrorMessage="1" xr:uid="{2FDA4117-7E70-431F-8454-4290F66524EF}">
          <x14:formula1>
            <xm:f>List!$D$6:$D$26</xm:f>
          </x14:formula1>
          <xm:sqref>C5</xm:sqref>
        </x14:dataValidation>
        <x14:dataValidation type="list" allowBlank="1" showInputMessage="1" showErrorMessage="1" xr:uid="{4ADF0C0D-8141-4655-AD33-306896713748}">
          <x14:formula1>
            <xm:f>List!$G$6:$G$8</xm:f>
          </x14:formula1>
          <xm:sqref>C42</xm:sqref>
        </x14:dataValidation>
        <x14:dataValidation type="list" allowBlank="1" showInputMessage="1" showErrorMessage="1" xr:uid="{0821DAB8-A0CB-4317-BA97-22E7D6625316}">
          <x14:formula1>
            <xm:f>List!$H$6:$H$15</xm:f>
          </x14:formula1>
          <xm:sqref>C48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92D050"/>
    <pageSetUpPr fitToPage="1"/>
  </sheetPr>
  <dimension ref="A1:D21"/>
  <sheetViews>
    <sheetView showGridLines="0" zoomScale="90" zoomScaleNormal="90" zoomScaleSheetLayoutView="100" workbookViewId="0">
      <selection activeCell="C19" sqref="C19"/>
    </sheetView>
  </sheetViews>
  <sheetFormatPr defaultColWidth="9.28515625" defaultRowHeight="15" x14ac:dyDescent="0.25"/>
  <cols>
    <col min="1" max="1" width="38.28515625" style="1" bestFit="1" customWidth="1"/>
    <col min="2" max="2" width="37.28515625" style="1" customWidth="1"/>
    <col min="3" max="3" width="61.42578125" style="1" customWidth="1"/>
    <col min="4" max="4" width="16.5703125" style="1" bestFit="1" customWidth="1"/>
    <col min="5" max="16384" width="9.28515625" style="1"/>
  </cols>
  <sheetData>
    <row r="1" spans="1:4" ht="15.75" thickBot="1" x14ac:dyDescent="0.3">
      <c r="A1" s="7" t="s">
        <v>80</v>
      </c>
      <c r="B1" s="6"/>
      <c r="C1" s="4"/>
    </row>
    <row r="2" spans="1:4" x14ac:dyDescent="0.25">
      <c r="A2" s="37"/>
      <c r="B2" s="36" t="s">
        <v>20</v>
      </c>
      <c r="C2" s="35"/>
    </row>
    <row r="3" spans="1:4" ht="17.25" customHeight="1" x14ac:dyDescent="0.25">
      <c r="A3" s="11" t="s">
        <v>3</v>
      </c>
      <c r="B3" s="24" t="s">
        <v>124</v>
      </c>
      <c r="C3" s="8"/>
    </row>
    <row r="4" spans="1:4" ht="17.25" customHeight="1" thickBot="1" x14ac:dyDescent="0.3">
      <c r="A4" s="12" t="s">
        <v>70</v>
      </c>
      <c r="B4" s="25" t="s">
        <v>88</v>
      </c>
      <c r="C4" s="9"/>
    </row>
    <row r="5" spans="1:4" ht="17.25" customHeight="1" x14ac:dyDescent="0.25">
      <c r="A5" s="11" t="s">
        <v>7</v>
      </c>
      <c r="B5" s="24" t="s">
        <v>73</v>
      </c>
      <c r="C5" s="10"/>
    </row>
    <row r="6" spans="1:4" ht="17.25" hidden="1" customHeight="1" thickBot="1" x14ac:dyDescent="0.3">
      <c r="A6" s="12" t="s">
        <v>87</v>
      </c>
      <c r="B6" s="25" t="s">
        <v>81</v>
      </c>
      <c r="C6" s="9"/>
    </row>
    <row r="7" spans="1:4" ht="17.25" hidden="1" customHeight="1" x14ac:dyDescent="0.25">
      <c r="A7" s="11" t="s">
        <v>75</v>
      </c>
      <c r="B7" s="24" t="s">
        <v>77</v>
      </c>
      <c r="C7" s="8"/>
    </row>
    <row r="8" spans="1:4" ht="17.25" customHeight="1" thickBot="1" x14ac:dyDescent="0.3">
      <c r="A8" s="12" t="s">
        <v>76</v>
      </c>
      <c r="B8" s="25" t="s">
        <v>78</v>
      </c>
      <c r="C8" s="9"/>
    </row>
    <row r="9" spans="1:4" ht="17.25" hidden="1" customHeight="1" x14ac:dyDescent="0.25">
      <c r="A9" s="11" t="s">
        <v>74</v>
      </c>
      <c r="B9" s="24" t="s">
        <v>79</v>
      </c>
      <c r="C9" s="8"/>
    </row>
    <row r="10" spans="1:4" ht="17.25" customHeight="1" thickBot="1" x14ac:dyDescent="0.3">
      <c r="A10" s="12" t="s">
        <v>4</v>
      </c>
      <c r="B10" s="25" t="s">
        <v>19</v>
      </c>
      <c r="C10" s="9"/>
      <c r="D10" s="2"/>
    </row>
    <row r="11" spans="1:4" ht="87" hidden="1" customHeight="1" thickBot="1" x14ac:dyDescent="0.3">
      <c r="A11" s="34" t="s">
        <v>2</v>
      </c>
      <c r="B11" s="25"/>
      <c r="C11" s="13" t="str">
        <f>IF(C3="","","Project Name: "&amp;C3&amp;"; ")&amp;IF(C4="","","Custodian: "&amp;C4&amp;"; ")&amp;IF(C5="","","Device Type: "&amp;C5&amp;"; ")&amp;IF(C6="","","Data Date: "&amp;C6&amp;"; ")&amp;IF(C7="","","Requested Path: "&amp;C7&amp;"; ")&amp;IF(C8="","","Source Path: "&amp;C8&amp;"; ")&amp;IF(C9="","","Collected Path: "&amp;C9&amp;"; ")&amp;IF(C10="","","Other Notes: "&amp;C10&amp;"; ")</f>
        <v/>
      </c>
    </row>
    <row r="12" spans="1:4" ht="87" customHeight="1" thickBot="1" x14ac:dyDescent="0.3">
      <c r="A12" s="34" t="s">
        <v>2</v>
      </c>
      <c r="B12" s="25"/>
      <c r="C12" s="13" t="str">
        <f>SUBSTITUTE(C11,CHAR(34)," ")</f>
        <v/>
      </c>
    </row>
    <row r="13" spans="1:4" ht="28.5" x14ac:dyDescent="0.25">
      <c r="A13" s="11" t="s">
        <v>140</v>
      </c>
      <c r="B13" s="24" t="s">
        <v>146</v>
      </c>
      <c r="C13" s="10"/>
    </row>
    <row r="14" spans="1:4" x14ac:dyDescent="0.25">
      <c r="A14" s="11" t="s">
        <v>131</v>
      </c>
      <c r="B14" s="26" t="s">
        <v>136</v>
      </c>
      <c r="C14" s="8"/>
    </row>
    <row r="15" spans="1:4" x14ac:dyDescent="0.25">
      <c r="A15" s="11" t="s">
        <v>132</v>
      </c>
      <c r="B15" s="26" t="s">
        <v>137</v>
      </c>
      <c r="C15" s="8"/>
    </row>
    <row r="16" spans="1:4" x14ac:dyDescent="0.25">
      <c r="A16" s="11" t="s">
        <v>133</v>
      </c>
      <c r="B16" s="24" t="s">
        <v>138</v>
      </c>
      <c r="C16" s="8"/>
    </row>
    <row r="17" spans="1:3" x14ac:dyDescent="0.25">
      <c r="A17" s="11" t="s">
        <v>134</v>
      </c>
      <c r="B17" s="26" t="s">
        <v>139</v>
      </c>
      <c r="C17" s="8"/>
    </row>
    <row r="18" spans="1:3" x14ac:dyDescent="0.25">
      <c r="A18" s="11" t="s">
        <v>135</v>
      </c>
      <c r="B18" s="26" t="s">
        <v>137</v>
      </c>
      <c r="C18" s="8"/>
    </row>
    <row r="19" spans="1:3" x14ac:dyDescent="0.25">
      <c r="A19" s="30" t="s">
        <v>143</v>
      </c>
      <c r="B19" s="26">
        <v>1024</v>
      </c>
      <c r="C19" s="8" t="s">
        <v>144</v>
      </c>
    </row>
    <row r="20" spans="1:3" ht="15.75" thickBot="1" x14ac:dyDescent="0.3">
      <c r="A20" s="30" t="s">
        <v>86</v>
      </c>
      <c r="B20" s="26" t="s">
        <v>145</v>
      </c>
      <c r="C20" s="32">
        <v>6</v>
      </c>
    </row>
    <row r="21" spans="1:3" ht="193.5" customHeight="1" thickBot="1" x14ac:dyDescent="0.3">
      <c r="A21" s="29" t="s">
        <v>130</v>
      </c>
      <c r="B21" s="38"/>
      <c r="C21" s="39" t="str">
        <f>"FTKAutomater.exe "&amp;IF(C13&lt;&gt;""," -p "&amp;CHAR(34)&amp;C13&amp;CHAR(34)&amp;"","")&amp;IF(C14&lt;&gt;""," -t "&amp;CHAR(34)&amp;C14&amp;CHAR(34)&amp;"","")&amp;IF(C3&lt;&gt;""," -c "&amp;CHAR(34)&amp;C3&amp;CHAR(34)&amp;"","")&amp;IF(C15&lt;&gt;""," -ev "&amp;CHAR(34)&amp;C15&amp;CHAR(34)&amp;"","")&amp;IF(C16&lt;&gt;""," -e "&amp;CHAR(34)&amp;C16&amp;CHAR(34)&amp;"","")&amp;IF(C12&lt;&gt;""," -n "&amp;CHAR(34)&amp;C12&amp;CHAR(34)&amp;"","")&amp;IF(C17&lt;&gt;""," -d "&amp;CHAR(34)&amp;C17&amp;" "&amp;CHAR(34)&amp;"","")&amp;IF(C18&lt;&gt;""," -f "&amp;CHAR(34)&amp;C18&amp;CHAR(34)&amp;"","")&amp;IF(C19&lt;&gt;""," -s "&amp;CHAR(34)&amp;C19&amp;CHAR(34)&amp;"","")&amp;IF(C20&lt;&gt;""," -co "&amp;CHAR(34)&amp;C20&amp;CHAR(34)&amp;"","")</f>
        <v>FTKAutomater.exe  -s "1024" -co "6"</v>
      </c>
    </row>
  </sheetData>
  <hyperlinks>
    <hyperlink ref="B6" r:id="rId1" display="\\NETWORK" xr:uid="{00000000-0004-0000-0200-000000000000}"/>
  </hyperlinks>
  <pageMargins left="0.7" right="0.7" top="0.75" bottom="0.75" header="0.3" footer="0.3"/>
  <pageSetup scale="83" fitToHeight="0" orientation="portrait" horizontalDpi="4294967293" verticalDpi="4294967293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1694FB-E77E-4BFC-B807-C7426799FEA1}">
          <x14:formula1>
            <xm:f>List!$D$6:$D$26</xm:f>
          </x14:formula1>
          <xm:sqref>C5</xm:sqref>
        </x14:dataValidation>
        <x14:dataValidation type="list" allowBlank="1" showInputMessage="1" showErrorMessage="1" xr:uid="{7A8AAB1C-81FA-43F2-A8BD-9500259C5EFF}">
          <x14:formula1>
            <xm:f>List!$G$6:$G$8</xm:f>
          </x14:formula1>
          <xm:sqref>C14</xm:sqref>
        </x14:dataValidation>
        <x14:dataValidation type="list" allowBlank="1" showInputMessage="1" showErrorMessage="1" xr:uid="{B052C561-3F83-4F1F-877A-2279571E009F}">
          <x14:formula1>
            <xm:f>List!$H$6:$H$15</xm:f>
          </x14:formula1>
          <xm:sqref>C20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79931-6BCD-4E7D-BF34-16BFFF6904BD}">
  <sheetPr codeName="Sheet5"/>
  <dimension ref="D5:H26"/>
  <sheetViews>
    <sheetView showGridLines="0" workbookViewId="0">
      <selection activeCell="H6" sqref="H6"/>
    </sheetView>
  </sheetViews>
  <sheetFormatPr defaultRowHeight="12.75" x14ac:dyDescent="0.2"/>
  <cols>
    <col min="1" max="3" width="9.140625" style="14"/>
    <col min="4" max="4" width="29.85546875" style="14" bestFit="1" customWidth="1"/>
    <col min="5" max="5" width="9.140625" style="14"/>
    <col min="6" max="6" width="14.28515625" style="14" bestFit="1" customWidth="1"/>
    <col min="7" max="16384" width="9.140625" style="14"/>
  </cols>
  <sheetData>
    <row r="5" spans="4:8" x14ac:dyDescent="0.2">
      <c r="D5" s="15" t="s">
        <v>7</v>
      </c>
      <c r="E5" s="15" t="s">
        <v>108</v>
      </c>
      <c r="F5" s="21" t="s">
        <v>112</v>
      </c>
      <c r="G5" s="15" t="s">
        <v>131</v>
      </c>
      <c r="H5" s="15" t="s">
        <v>86</v>
      </c>
    </row>
    <row r="6" spans="4:8" x14ac:dyDescent="0.2">
      <c r="D6" s="16" t="s">
        <v>89</v>
      </c>
      <c r="E6" s="16" t="s">
        <v>109</v>
      </c>
      <c r="F6" s="22" t="s">
        <v>113</v>
      </c>
      <c r="G6" s="16" t="s">
        <v>136</v>
      </c>
      <c r="H6" s="16">
        <v>0</v>
      </c>
    </row>
    <row r="7" spans="4:8" x14ac:dyDescent="0.2">
      <c r="D7" s="16" t="s">
        <v>90</v>
      </c>
      <c r="E7" s="16" t="s">
        <v>110</v>
      </c>
      <c r="F7" s="22" t="s">
        <v>114</v>
      </c>
      <c r="G7" s="16" t="s">
        <v>141</v>
      </c>
      <c r="H7" s="16">
        <v>1</v>
      </c>
    </row>
    <row r="8" spans="4:8" x14ac:dyDescent="0.2">
      <c r="D8" s="16" t="s">
        <v>91</v>
      </c>
      <c r="E8" s="16" t="s">
        <v>107</v>
      </c>
      <c r="F8" s="22" t="s">
        <v>115</v>
      </c>
      <c r="G8" s="16" t="s">
        <v>142</v>
      </c>
      <c r="H8" s="16">
        <v>2</v>
      </c>
    </row>
    <row r="9" spans="4:8" x14ac:dyDescent="0.2">
      <c r="D9" s="16" t="s">
        <v>92</v>
      </c>
      <c r="E9" s="16" t="s">
        <v>111</v>
      </c>
      <c r="F9" s="22" t="s">
        <v>116</v>
      </c>
      <c r="H9" s="16">
        <v>3</v>
      </c>
    </row>
    <row r="10" spans="4:8" x14ac:dyDescent="0.2">
      <c r="D10" s="16" t="s">
        <v>93</v>
      </c>
      <c r="F10" s="22" t="s">
        <v>117</v>
      </c>
      <c r="H10" s="41">
        <v>4</v>
      </c>
    </row>
    <row r="11" spans="4:8" x14ac:dyDescent="0.2">
      <c r="D11" s="16" t="s">
        <v>129</v>
      </c>
      <c r="F11" s="22" t="s">
        <v>118</v>
      </c>
      <c r="H11" s="16">
        <v>5</v>
      </c>
    </row>
    <row r="12" spans="4:8" x14ac:dyDescent="0.2">
      <c r="D12" s="16" t="s">
        <v>94</v>
      </c>
      <c r="F12" s="22" t="s">
        <v>119</v>
      </c>
      <c r="H12" s="16">
        <v>6</v>
      </c>
    </row>
    <row r="13" spans="4:8" x14ac:dyDescent="0.2">
      <c r="D13" s="16" t="s">
        <v>95</v>
      </c>
      <c r="F13" s="23" t="s">
        <v>120</v>
      </c>
      <c r="H13" s="16">
        <v>7</v>
      </c>
    </row>
    <row r="14" spans="4:8" x14ac:dyDescent="0.2">
      <c r="D14" s="16" t="s">
        <v>96</v>
      </c>
      <c r="F14" s="22" t="s">
        <v>105</v>
      </c>
      <c r="H14" s="41">
        <v>8</v>
      </c>
    </row>
    <row r="15" spans="4:8" x14ac:dyDescent="0.2">
      <c r="D15" s="17" t="s">
        <v>97</v>
      </c>
      <c r="H15" s="16">
        <v>9</v>
      </c>
    </row>
    <row r="16" spans="4:8" x14ac:dyDescent="0.2">
      <c r="D16" s="18" t="s">
        <v>98</v>
      </c>
    </row>
    <row r="17" spans="4:4" x14ac:dyDescent="0.2">
      <c r="D17" s="19" t="s">
        <v>99</v>
      </c>
    </row>
    <row r="18" spans="4:4" x14ac:dyDescent="0.2">
      <c r="D18" s="19" t="s">
        <v>100</v>
      </c>
    </row>
    <row r="19" spans="4:4" x14ac:dyDescent="0.2">
      <c r="D19" s="19" t="s">
        <v>101</v>
      </c>
    </row>
    <row r="20" spans="4:4" x14ac:dyDescent="0.2">
      <c r="D20" s="19" t="s">
        <v>102</v>
      </c>
    </row>
    <row r="21" spans="4:4" x14ac:dyDescent="0.2">
      <c r="D21" s="19" t="s">
        <v>103</v>
      </c>
    </row>
    <row r="22" spans="4:4" x14ac:dyDescent="0.2">
      <c r="D22" s="19" t="s">
        <v>104</v>
      </c>
    </row>
    <row r="23" spans="4:4" x14ac:dyDescent="0.2">
      <c r="D23" s="19" t="s">
        <v>126</v>
      </c>
    </row>
    <row r="24" spans="4:4" x14ac:dyDescent="0.2">
      <c r="D24" s="19" t="s">
        <v>127</v>
      </c>
    </row>
    <row r="25" spans="4:4" x14ac:dyDescent="0.2">
      <c r="D25" s="19" t="s">
        <v>128</v>
      </c>
    </row>
    <row r="26" spans="4:4" x14ac:dyDescent="0.2">
      <c r="D26" s="20" t="s">
        <v>105</v>
      </c>
    </row>
  </sheetData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0BADB1BBA49184DA5E4ABAAB0A83D87" ma:contentTypeVersion="9" ma:contentTypeDescription="Create a new document." ma:contentTypeScope="" ma:versionID="eae593edb6aa70ad304bae01c9ba9816">
  <xsd:schema xmlns:xsd="http://www.w3.org/2001/XMLSchema" xmlns:xs="http://www.w3.org/2001/XMLSchema" xmlns:p="http://schemas.microsoft.com/office/2006/metadata/properties" xmlns:ns2="a3fa68a4-51de-4eee-b149-614dd1342259" xmlns:ns3="f1c4a83e-de2f-4938-b782-29c358cd4715" targetNamespace="http://schemas.microsoft.com/office/2006/metadata/properties" ma:root="true" ma:fieldsID="e647f0c41cfb5cdd0e2c555d363665c9" ns2:_="" ns3:_="">
    <xsd:import namespace="a3fa68a4-51de-4eee-b149-614dd1342259"/>
    <xsd:import namespace="f1c4a83e-de2f-4938-b782-29c358cd471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fa68a4-51de-4eee-b149-614dd13422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c4a83e-de2f-4938-b782-29c358cd4715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C0600A5-143E-4B21-9642-D87D4E73726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fa68a4-51de-4eee-b149-614dd1342259"/>
    <ds:schemaRef ds:uri="f1c4a83e-de2f-4938-b782-29c358cd47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58197C8-E2D7-4C55-BA95-C96260E0FEB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58449BE-4A8C-4EED-9CCE-90285B1080BA}">
  <ds:schemaRefs>
    <ds:schemaRef ds:uri="http://purl.org/dc/terms/"/>
    <ds:schemaRef ds:uri="http://schemas.openxmlformats.org/package/2006/metadata/core-properties"/>
    <ds:schemaRef ds:uri="f1c4a83e-de2f-4938-b782-29c358cd4715"/>
    <ds:schemaRef ds:uri="http://schemas.microsoft.com/office/2006/documentManagement/types"/>
    <ds:schemaRef ds:uri="http://purl.org/dc/elements/1.1/"/>
    <ds:schemaRef ds:uri="a3fa68a4-51de-4eee-b149-614dd1342259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Device Imaging Notes</vt:lpstr>
      <vt:lpstr>Mobile Imaging Notes</vt:lpstr>
      <vt:lpstr>Network Imaging Notes</vt:lpstr>
      <vt:lpstr>List</vt:lpstr>
      <vt:lpstr>'Device Imaging Notes'!DataValidationRange</vt:lpstr>
      <vt:lpstr>'Device Imaging Notes'!Print_Area</vt:lpstr>
      <vt:lpstr>'Network Imaging Notes'!Print_Area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Deloitte</dc:creator>
  <cp:lastModifiedBy>Mastop, Christiaan (NL - Amsterdam)</cp:lastModifiedBy>
  <dcterms:created xsi:type="dcterms:W3CDTF">2011-12-08T22:14:50Z</dcterms:created>
  <dcterms:modified xsi:type="dcterms:W3CDTF">2019-04-26T15:05:02Z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0x010100B0BADB1BBA49184DA5E4ABAAB0A83D87</vt:lpwstr>
  </property>
  <property fmtid="{D5CDD505-2E9C-101B-9397-08002B2CF9AE}" pid="3" name="AuthorIds_UIVersion_1536">
    <vt:lpwstr>21</vt:lpwstr>
  </property>
</Properties>
</file>